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urva ABC" sheetId="2" state="visible" r:id="rId4"/>
    <sheet name="Legenda" sheetId="3" state="visible" r:id="rId5"/>
    <sheet name="Comparação projetista" sheetId="4" state="visible" r:id="rId6"/>
  </sheets>
  <definedNames>
    <definedName function="false" hidden="true" localSheetId="3" name="_xlnm._FilterDatabase" vbProcedure="false">'Comparação projetista'!$A$4:$L$81</definedName>
    <definedName function="false" hidden="false" localSheetId="1" name="_xlnm.Print_Titles" vbProcedure="false">'Curva ABC'!$4:$4</definedName>
    <definedName function="false" hidden="true" localSheetId="1" name="_xlnm._FilterDatabase" vbProcedure="false">'Curva ABC'!$A$4:$O$81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<sst xmlns="http://schemas.openxmlformats.org/spreadsheetml/2006/main" count="1410" uniqueCount="555">
  <si>
    <t xml:space="preserve">Resumo por classe</t>
  </si>
  <si>
    <t xml:space="preserve">Valores com BDI, calculados a partir da aba "Curva ABC".</t>
  </si>
  <si>
    <t xml:space="preserve">Classe</t>
  </si>
  <si>
    <t xml:space="preserve">Linhas</t>
  </si>
  <si>
    <t xml:space="preserve">Valor (R$)</t>
  </si>
  <si>
    <t xml:space="preserve">%</t>
  </si>
  <si>
    <t xml:space="preserve">Δ BDI (R$)</t>
  </si>
  <si>
    <t xml:space="preserve">A</t>
  </si>
  <si>
    <t xml:space="preserve">B</t>
  </si>
  <si>
    <t xml:space="preserve">C</t>
  </si>
  <si>
    <t xml:space="preserve">Total</t>
  </si>
  <si>
    <t xml:space="preserve">Valores de controle (tabela do usuário): A 631.986,26 · B 109.648,24 · C 37.084,70 · Total 778.719,20 · Δ BDI −24.955,96.</t>
  </si>
  <si>
    <t xml:space="preserve">Valor por fonte do preço</t>
  </si>
  <si>
    <t xml:space="preserve">Fonte</t>
  </si>
  <si>
    <t xml:space="preserve">SINAPI</t>
  </si>
  <si>
    <t xml:space="preserve">SINAPI sem custo</t>
  </si>
  <si>
    <t xml:space="preserve">SEDOP</t>
  </si>
  <si>
    <t xml:space="preserve">ORSE</t>
  </si>
  <si>
    <t xml:space="preserve">EMBASA</t>
  </si>
  <si>
    <t xml:space="preserve">Cotação Biomais</t>
  </si>
  <si>
    <t xml:space="preserve">Cotação</t>
  </si>
  <si>
    <t xml:space="preserve">Composição própria</t>
  </si>
  <si>
    <t xml:space="preserve">Linhas agrupadas contam uma vez (ex.: 12.4.1 + 12.4.2). "SINAPI" inclui o 10.11, composição própria com o custo do SINAPI 94493.</t>
  </si>
  <si>
    <t xml:space="preserve">Curva ABC corrigida: itens de engenharia mecânica (aba PLANILHA ORÇAMENTÁRIA)</t>
  </si>
  <si>
    <t xml:space="preserve">Obra: ETE do Hospital Barros Barreto (Belém/PA) · Orçamentista: Sanigy · Data-base 06/2025 · SINAPI-PA desonerado · Escopo: 80 itens mecânicos, agrupados em 77 linhas</t>
  </si>
  <si>
    <t xml:space="preserve">#</t>
  </si>
  <si>
    <t xml:space="preserve">Item</t>
  </si>
  <si>
    <t xml:space="preserve">Linha</t>
  </si>
  <si>
    <t xml:space="preserve">Descrição</t>
  </si>
  <si>
    <t xml:space="preserve">Qtd</t>
  </si>
  <si>
    <t xml:space="preserve">R$ c/ BDI</t>
  </si>
  <si>
    <t xml:space="preserve">% do total</t>
  </si>
  <si>
    <t xml:space="preserve">% acum.</t>
  </si>
  <si>
    <t xml:space="preserve">BDI</t>
  </si>
  <si>
    <t xml:space="preserve">Verificar (bloco) e status</t>
  </si>
  <si>
    <t xml:space="preserve">Fonte do preço</t>
  </si>
  <si>
    <t xml:space="preserve">Código / evidência</t>
  </si>
  <si>
    <t xml:space="preserve">Situação do preço na fonte</t>
  </si>
  <si>
    <t xml:space="preserve">12.4.1 + 12.4.2</t>
  </si>
  <si>
    <t xml:space="preserve">255 e 256</t>
  </si>
  <si>
    <t xml:space="preserve">Decantador secundário 4,00 × 4,10 m + frete</t>
  </si>
  <si>
    <t xml:space="preserve">2 + 2</t>
  </si>
  <si>
    <t xml:space="preserve">S → A</t>
  </si>
  <si>
    <t xml:space="preserve">Bloco F: proposta única; linha sem especificação (lamelas, internos); montagem do decantador não consta; BDI → aquisição (equipamento −R$ 17.932,38; frete −R$ 1.246,30); pedir cotação de transporte (AET)</t>
  </si>
  <si>
    <t xml:space="preserve">—</t>
  </si>
  <si>
    <t xml:space="preserve">Proposta única de 24/07/2025 (só a pág. 4, image36.png), sem CNPJ, validade ou especificação</t>
  </si>
  <si>
    <t xml:space="preserve">6.1 + 6.2</t>
  </si>
  <si>
    <t xml:space="preserve">69 e 70</t>
  </si>
  <si>
    <t xml:space="preserve">Guindaste 75 t (horas produtivas + improdutivas)</t>
  </si>
  <si>
    <t xml:space="preserve">240 h + 480 h</t>
  </si>
  <si>
    <t xml:space="preserve">S</t>
  </si>
  <si>
    <t xml:space="preserve">Bloco B: NÃO OK; sem custo oficial (hora = combustível + operador, sem a máquina); 720 h sem plano de içamento; falta mobilização do guindaste</t>
  </si>
  <si>
    <t xml:space="preserve">102850 / 102851</t>
  </si>
  <si>
    <t xml:space="preserve">Código "sem custo" desde 11/2021; a planilha recompôs a hora só com materiais (102849) + operador (88296)</t>
  </si>
  <si>
    <t xml:space="preserve">12.1.3</t>
  </si>
  <si>
    <t xml:space="preserve">236</t>
  </si>
  <si>
    <t xml:space="preserve">Revestimento e reforço interno (UASB)</t>
  </si>
  <si>
    <t xml:space="preserve">2</t>
  </si>
  <si>
    <t xml:space="preserve">Bloco F: unidade nova ou existente? base em m²</t>
  </si>
  <si>
    <t xml:space="preserve">10.4</t>
  </si>
  <si>
    <t xml:space="preserve">208</t>
  </si>
  <si>
    <t xml:space="preserve">Difusor 250 mm</t>
  </si>
  <si>
    <t xml:space="preserve">140</t>
  </si>
  <si>
    <t xml:space="preserve">Bloco E: preço OK; 140 fecha com a rede</t>
  </si>
  <si>
    <t xml:space="preserve">Print de loja + mão de obra</t>
  </si>
  <si>
    <t xml:space="preserve">Difusor R$ 161,20 (cotação); mão de obra ≈ R$ 25,58, provável 0,5 h de 88267 + 0,5 h de 88248 (a confirmar na CPU)</t>
  </si>
  <si>
    <t xml:space="preserve">12.1.6</t>
  </si>
  <si>
    <t xml:space="preserve">239</t>
  </si>
  <si>
    <t xml:space="preserve">Montagem do sistema (UASB)</t>
  </si>
  <si>
    <t xml:space="preserve">Bloco F: pode repetir o revestimento</t>
  </si>
  <si>
    <t xml:space="preserve">12.2.1</t>
  </si>
  <si>
    <t xml:space="preserve">242</t>
  </si>
  <si>
    <t xml:space="preserve">Revestimento e reforço interno (FBAS)</t>
  </si>
  <si>
    <t xml:space="preserve">Bloco F: base de cálculo vs 12.1.3</t>
  </si>
  <si>
    <t xml:space="preserve">12.1.1</t>
  </si>
  <si>
    <t xml:space="preserve">234</t>
  </si>
  <si>
    <t xml:space="preserve">Separador trifásico</t>
  </si>
  <si>
    <t xml:space="preserve">Bloco F: escopo da proposta; BDI → aquisição</t>
  </si>
  <si>
    <t xml:space="preserve">1.13</t>
  </si>
  <si>
    <t xml:space="preserve">28</t>
  </si>
  <si>
    <t xml:space="preserve">Comissionamento da ETE (EMBASA)</t>
  </si>
  <si>
    <t xml:space="preserve">1</t>
  </si>
  <si>
    <t xml:space="preserve">Bloco A: NÃO VERIFICÁVEL; EMBASA/BA; sobreposição com guindaste</t>
  </si>
  <si>
    <t xml:space="preserve">41.05.01</t>
  </si>
  <si>
    <t xml:space="preserve">Tabela EMBASA/BA não disponível; mesmo código na planilha do projetista (R$ 38.386,51)</t>
  </si>
  <si>
    <t xml:space="preserve">10.3</t>
  </si>
  <si>
    <t xml:space="preserve">207</t>
  </si>
  <si>
    <t xml:space="preserve">Soprador radial duplo estágio</t>
  </si>
  <si>
    <t xml:space="preserve">Bloco E: NÃO VERIFICÁVEL; especificação em 3 versões</t>
  </si>
  <si>
    <t xml:space="preserve">Print Policomp JQT-7500 (image7.png)</t>
  </si>
  <si>
    <t xml:space="preserve">Especificação em 3 versões (item, CPU e print)</t>
  </si>
  <si>
    <t xml:space="preserve">12.1.2</t>
  </si>
  <si>
    <t xml:space="preserve">235</t>
  </si>
  <si>
    <t xml:space="preserve">Defletor em PRFV</t>
  </si>
  <si>
    <t xml:space="preserve">12.2.4</t>
  </si>
  <si>
    <t xml:space="preserve">245</t>
  </si>
  <si>
    <t xml:space="preserve">Montagem do sistema (FBAS)</t>
  </si>
  <si>
    <t xml:space="preserve">10.8</t>
  </si>
  <si>
    <t xml:space="preserve">212</t>
  </si>
  <si>
    <t xml:space="preserve">Pall ring 2"</t>
  </si>
  <si>
    <t xml:space="preserve">15 m³</t>
  </si>
  <si>
    <t xml:space="preserve">Bloco E: OK com ressalva; 2" × 3"; conferir volume</t>
  </si>
  <si>
    <t xml:space="preserve">Print de loja</t>
  </si>
  <si>
    <t xml:space="preserve">R$ 1.180,00/m³ (cotação "2"")</t>
  </si>
  <si>
    <t xml:space="preserve">12.1.5</t>
  </si>
  <si>
    <t xml:space="preserve">238</t>
  </si>
  <si>
    <t xml:space="preserve">Substituição do acesso lateral e superior (UASB)</t>
  </si>
  <si>
    <t xml:space="preserve">Bloco F: reforma de unidade existente?</t>
  </si>
  <si>
    <t xml:space="preserve">12.1.4</t>
  </si>
  <si>
    <t xml:space="preserve">237</t>
  </si>
  <si>
    <t xml:space="preserve">Pintura com gelcoat (UASB)</t>
  </si>
  <si>
    <t xml:space="preserve">Bloco F: escopo da proposta</t>
  </si>
  <si>
    <t xml:space="preserve">12.3.2</t>
  </si>
  <si>
    <t xml:space="preserve">249</t>
  </si>
  <si>
    <t xml:space="preserve">Revestimento e reforço interno (tanque de contato)</t>
  </si>
  <si>
    <t xml:space="preserve">Bloco F: base de cálculo</t>
  </si>
  <si>
    <t xml:space="preserve">12.3.5</t>
  </si>
  <si>
    <t xml:space="preserve">252</t>
  </si>
  <si>
    <t xml:space="preserve">Montagem do sistema (tanque de contato)</t>
  </si>
  <si>
    <t xml:space="preserve">8.2.14</t>
  </si>
  <si>
    <t xml:space="preserve">108</t>
  </si>
  <si>
    <t xml:space="preserve">Tê de redução 75 × 50</t>
  </si>
  <si>
    <t xml:space="preserve">Bloco C: 140 = difusores; sem tubo DN 50; ≈ 2,6 saídas/m</t>
  </si>
  <si>
    <t xml:space="preserve">94698</t>
  </si>
  <si>
    <t xml:space="preserve">Igual à tabela SINAPI-PA 06/2025 ao centavo</t>
  </si>
  <si>
    <t xml:space="preserve">10.7</t>
  </si>
  <si>
    <t xml:space="preserve">211</t>
  </si>
  <si>
    <t xml:space="preserve">Motobomba submersível Brava E30</t>
  </si>
  <si>
    <t xml:space="preserve">Bloco E: preço OK; função e ponto de operação</t>
  </si>
  <si>
    <t xml:space="preserve">Motobomba Brava E30, R$ 5.679,24</t>
  </si>
  <si>
    <t xml:space="preserve">12.2.2</t>
  </si>
  <si>
    <t xml:space="preserve">243</t>
  </si>
  <si>
    <t xml:space="preserve">Pintura com gelcoat (FBAS)</t>
  </si>
  <si>
    <t xml:space="preserve">12.2.3</t>
  </si>
  <si>
    <t xml:space="preserve">244</t>
  </si>
  <si>
    <t xml:space="preserve">Substituição do acesso superior (FBAS)</t>
  </si>
  <si>
    <t xml:space="preserve">12.3.4</t>
  </si>
  <si>
    <t xml:space="preserve">251</t>
  </si>
  <si>
    <t xml:space="preserve">Substituição do acesso superior (tanque de contato)</t>
  </si>
  <si>
    <t xml:space="preserve">12.3.1</t>
  </si>
  <si>
    <t xml:space="preserve">248</t>
  </si>
  <si>
    <t xml:space="preserve">Kit chincana</t>
  </si>
  <si>
    <t xml:space="preserve">Bloco F: fornecimento sem montagem; BDI → aquisição</t>
  </si>
  <si>
    <t xml:space="preserve">1.16</t>
  </si>
  <si>
    <t xml:space="preserve">31</t>
  </si>
  <si>
    <t xml:space="preserve">Comissionamento do combate a incêndio</t>
  </si>
  <si>
    <t xml:space="preserve">Bloco A: NÃO OK; excluir ou reduzir</t>
  </si>
  <si>
    <t xml:space="preserve">Composição 29 (projetista)</t>
  </si>
  <si>
    <t xml:space="preserve">40 h eng. júnior 90777 + 40 h encanador 88267 + 20 h auxiliar 88248 (SINAPI)</t>
  </si>
  <si>
    <t xml:space="preserve">10.10</t>
  </si>
  <si>
    <t xml:space="preserve">214</t>
  </si>
  <si>
    <t xml:space="preserve">Registro de gaveta 4"</t>
  </si>
  <si>
    <t xml:space="preserve">3</t>
  </si>
  <si>
    <t xml:space="preserve">Bloco E: SEDOP, NÃO VERIFICÁVEL; flange ou rosca?</t>
  </si>
  <si>
    <t xml:space="preserve">180801</t>
  </si>
  <si>
    <t xml:space="preserve">"Registro de gaveta 4" - bruto"; tabela SEDOP não disponível</t>
  </si>
  <si>
    <t xml:space="preserve">8.2.6</t>
  </si>
  <si>
    <t xml:space="preserve">100</t>
  </si>
  <si>
    <t xml:space="preserve">Tubo PVC DN 110</t>
  </si>
  <si>
    <t xml:space="preserve">39 m</t>
  </si>
  <si>
    <t xml:space="preserve">Bloco C: preço OK; temperatura do ar × PVC</t>
  </si>
  <si>
    <t xml:space="preserve">94655</t>
  </si>
  <si>
    <t xml:space="preserve">10.1</t>
  </si>
  <si>
    <t xml:space="preserve">205</t>
  </si>
  <si>
    <t xml:space="preserve">Calha Parshall 6"</t>
  </si>
  <si>
    <t xml:space="preserve">Bloco E: OK com ressalva; cotação inclui caixas</t>
  </si>
  <si>
    <t xml:space="preserve">Print Bakof (image5.png)</t>
  </si>
  <si>
    <t xml:space="preserve">R$ 5.883,02, com caixas de entrada e saída</t>
  </si>
  <si>
    <t xml:space="preserve">8.3.1</t>
  </si>
  <si>
    <t xml:space="preserve">122</t>
  </si>
  <si>
    <t xml:space="preserve">Tubo aço galvanizado DN 80</t>
  </si>
  <si>
    <t xml:space="preserve">34 m</t>
  </si>
  <si>
    <t xml:space="preserve">Bloco D: NÃO OK; conexões são 2½"</t>
  </si>
  <si>
    <t xml:space="preserve">94464</t>
  </si>
  <si>
    <t xml:space="preserve">8.2.23</t>
  </si>
  <si>
    <t xml:space="preserve">117</t>
  </si>
  <si>
    <t xml:space="preserve">Adaptador com flanges DN 110 × 4"</t>
  </si>
  <si>
    <t xml:space="preserve">14</t>
  </si>
  <si>
    <t xml:space="preserve">Bloco C: 14 = 2×(3+4) coerente; tipo de conexão</t>
  </si>
  <si>
    <t xml:space="preserve">94715</t>
  </si>
  <si>
    <t xml:space="preserve">8.2.19</t>
  </si>
  <si>
    <t xml:space="preserve">113</t>
  </si>
  <si>
    <t xml:space="preserve">União PVC DN 110 (Tigre)</t>
  </si>
  <si>
    <t xml:space="preserve">8</t>
  </si>
  <si>
    <t xml:space="preserve">Bloco C: por que 8? marca Tigre</t>
  </si>
  <si>
    <t xml:space="preserve">Composição 4 (projetista)</t>
  </si>
  <si>
    <t xml:space="preserve">Insumo SINAPI 9908 (união 110 mm) + mão de obra SINAPI; descrição com marca "Tigre"</t>
  </si>
  <si>
    <t xml:space="preserve">12.3.3</t>
  </si>
  <si>
    <t xml:space="preserve">250</t>
  </si>
  <si>
    <t xml:space="preserve">Pintura com gelcoat (tanque de contato)</t>
  </si>
  <si>
    <t xml:space="preserve">10.5</t>
  </si>
  <si>
    <t xml:space="preserve">209</t>
  </si>
  <si>
    <t xml:space="preserve">Filtro de entrada</t>
  </si>
  <si>
    <t xml:space="preserve">Bloco E: NÃO OK; filtro 2" × soprador</t>
  </si>
  <si>
    <t xml:space="preserve">Filtro de 2" para até 5 m³/min</t>
  </si>
  <si>
    <t xml:space="preserve">8.2.11</t>
  </si>
  <si>
    <t xml:space="preserve">105</t>
  </si>
  <si>
    <t xml:space="preserve">Joelho 90° DN 110</t>
  </si>
  <si>
    <t xml:space="preserve">11</t>
  </si>
  <si>
    <t xml:space="preserve">Bloco C: conferir no isométrico</t>
  </si>
  <si>
    <t xml:space="preserve">94686</t>
  </si>
  <si>
    <t xml:space="preserve">12.3.6</t>
  </si>
  <si>
    <t xml:space="preserve">253</t>
  </si>
  <si>
    <t xml:space="preserve">Frete do conjunto tanque de contato</t>
  </si>
  <si>
    <t xml:space="preserve">Bloco F: NÃO OK; qtd 2 × proposta 1 (−R$ 1.911,15, à parte); BDI → aquisição</t>
  </si>
  <si>
    <t xml:space="preserve">8.2.4</t>
  </si>
  <si>
    <t xml:space="preserve">98</t>
  </si>
  <si>
    <t xml:space="preserve">Tubo PVC DN 75</t>
  </si>
  <si>
    <t xml:space="preserve">53 m</t>
  </si>
  <si>
    <t xml:space="preserve">Bloco C: comprimento × planta</t>
  </si>
  <si>
    <t xml:space="preserve">89451</t>
  </si>
  <si>
    <t xml:space="preserve">8.2.10</t>
  </si>
  <si>
    <t xml:space="preserve">104</t>
  </si>
  <si>
    <t xml:space="preserve">Joelho 90° DN 75</t>
  </si>
  <si>
    <t xml:space="preserve">24</t>
  </si>
  <si>
    <t xml:space="preserve">89513</t>
  </si>
  <si>
    <t xml:space="preserve">10.2</t>
  </si>
  <si>
    <t xml:space="preserve">206</t>
  </si>
  <si>
    <t xml:space="preserve">Bomba dosadora EMEC FCE</t>
  </si>
  <si>
    <t xml:space="preserve">Bloco E: NÃO VERIFICÁVEL; pedir 3 propostas</t>
  </si>
  <si>
    <t xml:space="preserve">Dosadora EMEC FCE, R$ 1.367,90</t>
  </si>
  <si>
    <t xml:space="preserve">10.16</t>
  </si>
  <si>
    <t xml:space="preserve">220</t>
  </si>
  <si>
    <t xml:space="preserve">Retenção horizontal 4"</t>
  </si>
  <si>
    <t xml:space="preserve">Bloco E: preço OK; 4 retenções p/ 2 bombas</t>
  </si>
  <si>
    <t xml:space="preserve">99626</t>
  </si>
  <si>
    <t xml:space="preserve">8.2.3</t>
  </si>
  <si>
    <t xml:space="preserve">97</t>
  </si>
  <si>
    <t xml:space="preserve">Tubo PVC DN 60</t>
  </si>
  <si>
    <t xml:space="preserve">67 m</t>
  </si>
  <si>
    <t xml:space="preserve">Bloco C: 7 tês × 21 registros DN 60</t>
  </si>
  <si>
    <t xml:space="preserve">89450</t>
  </si>
  <si>
    <t xml:space="preserve">10.11 + 10.13</t>
  </si>
  <si>
    <t xml:space="preserve">215 e 217</t>
  </si>
  <si>
    <t xml:space="preserve">Registro de esfera DN 60 (mesmo código SINAPI 94493)</t>
  </si>
  <si>
    <t xml:space="preserve">8 + 13</t>
  </si>
  <si>
    <t xml:space="preserve">Bloco E: NÃO OK; duplicidade; são 21 no projeto? (−R$ 1.072,64 se 8 sobrarem)</t>
  </si>
  <si>
    <t xml:space="preserve">94493</t>
  </si>
  <si>
    <t xml:space="preserve">10.13 = SINAPI 94493; 10.11 = composição própria "COMPOSIÇÃO 8" com o custo do 94493. Igual à tabela ao centavo</t>
  </si>
  <si>
    <t xml:space="preserve">8.2.16</t>
  </si>
  <si>
    <t xml:space="preserve">110</t>
  </si>
  <si>
    <t xml:space="preserve">Tê PVC DN 75</t>
  </si>
  <si>
    <t xml:space="preserve">22</t>
  </si>
  <si>
    <t xml:space="preserve">94697</t>
  </si>
  <si>
    <t xml:space="preserve">8.3.9</t>
  </si>
  <si>
    <t xml:space="preserve">130</t>
  </si>
  <si>
    <t xml:space="preserve">União galvanizada 2½"</t>
  </si>
  <si>
    <t xml:space="preserve">10</t>
  </si>
  <si>
    <t xml:space="preserve">Bloco D: coerente com 20 niples</t>
  </si>
  <si>
    <t xml:space="preserve">92890</t>
  </si>
  <si>
    <t xml:space="preserve">8.2.25</t>
  </si>
  <si>
    <t xml:space="preserve">119</t>
  </si>
  <si>
    <t xml:space="preserve">Bucha de redução 50 × 25</t>
  </si>
  <si>
    <t xml:space="preserve">Bloco C: = difusores</t>
  </si>
  <si>
    <t xml:space="preserve">103999</t>
  </si>
  <si>
    <t xml:space="preserve">8.2.13</t>
  </si>
  <si>
    <t xml:space="preserve">107</t>
  </si>
  <si>
    <t xml:space="preserve">Luva com bucha de latão 25 × ¾"</t>
  </si>
  <si>
    <t xml:space="preserve">89427</t>
  </si>
  <si>
    <t xml:space="preserve">10.14</t>
  </si>
  <si>
    <t xml:space="preserve">218</t>
  </si>
  <si>
    <t xml:space="preserve">Válvula de alívio 1¼"</t>
  </si>
  <si>
    <t xml:space="preserve">Bloco E: NÃO VERIFICÁVEL; pressão de abertura</t>
  </si>
  <si>
    <t xml:space="preserve">Válvula de alívio, R$ 941,05</t>
  </si>
  <si>
    <t xml:space="preserve">10.17</t>
  </si>
  <si>
    <t xml:space="preserve">221</t>
  </si>
  <si>
    <t xml:space="preserve">Retenção vertical 4"</t>
  </si>
  <si>
    <t xml:space="preserve">Bloco E: confirmar 2 + 2</t>
  </si>
  <si>
    <t xml:space="preserve">99634</t>
  </si>
  <si>
    <t xml:space="preserve">8.2.9</t>
  </si>
  <si>
    <t xml:space="preserve">103</t>
  </si>
  <si>
    <t xml:space="preserve">Joelho 90° DN 60</t>
  </si>
  <si>
    <t xml:space="preserve">34</t>
  </si>
  <si>
    <t xml:space="preserve">89505</t>
  </si>
  <si>
    <t xml:space="preserve">8.3.7</t>
  </si>
  <si>
    <t xml:space="preserve">128</t>
  </si>
  <si>
    <t xml:space="preserve">Niple galvanizado 2½"</t>
  </si>
  <si>
    <t xml:space="preserve">20</t>
  </si>
  <si>
    <t xml:space="preserve">Bloco D: 2 por união</t>
  </si>
  <si>
    <t xml:space="preserve">94468</t>
  </si>
  <si>
    <t xml:space="preserve">12.1.7</t>
  </si>
  <si>
    <t xml:space="preserve">240</t>
  </si>
  <si>
    <t xml:space="preserve">Frete do conjunto UASB</t>
  </si>
  <si>
    <t xml:space="preserve">Bloco F: quantidade confere; BDI → aquisição</t>
  </si>
  <si>
    <t xml:space="preserve">12.2.5</t>
  </si>
  <si>
    <t xml:space="preserve">246</t>
  </si>
  <si>
    <t xml:space="preserve">Frete do conjunto FBAS</t>
  </si>
  <si>
    <t xml:space="preserve">10.15</t>
  </si>
  <si>
    <t xml:space="preserve">219</t>
  </si>
  <si>
    <t xml:space="preserve">Retenção horizontal 2½"</t>
  </si>
  <si>
    <t xml:space="preserve">Bloco E: OK; uma por soprador</t>
  </si>
  <si>
    <t xml:space="preserve">99624</t>
  </si>
  <si>
    <t xml:space="preserve">10.9</t>
  </si>
  <si>
    <t xml:space="preserve">213</t>
  </si>
  <si>
    <t xml:space="preserve">Registro de gaveta 2½"</t>
  </si>
  <si>
    <t xml:space="preserve">Bloco E: SEDOP, NÃO VERIFICÁVEL</t>
  </si>
  <si>
    <t xml:space="preserve">180803</t>
  </si>
  <si>
    <t xml:space="preserve">"Registro de gaveta 2 1/2" - bruto"; tabela SEDOP não disponível</t>
  </si>
  <si>
    <t xml:space="preserve">8.2.26</t>
  </si>
  <si>
    <t xml:space="preserve">120</t>
  </si>
  <si>
    <t xml:space="preserve">Curva 90° DN 110</t>
  </si>
  <si>
    <t xml:space="preserve">4</t>
  </si>
  <si>
    <t xml:space="preserve">94687</t>
  </si>
  <si>
    <t xml:space="preserve">8.2.20</t>
  </si>
  <si>
    <t xml:space="preserve">114</t>
  </si>
  <si>
    <t xml:space="preserve">Adaptador curto com rosca 25 × ¾"</t>
  </si>
  <si>
    <t xml:space="preserve">89383</t>
  </si>
  <si>
    <t xml:space="preserve">8.3.2</t>
  </si>
  <si>
    <t xml:space="preserve">123</t>
  </si>
  <si>
    <t xml:space="preserve">Vara de tubo galvanizado "DN 110"</t>
  </si>
  <si>
    <t xml:space="preserve">Bloco D: onde entra? sem conexão de 4"</t>
  </si>
  <si>
    <t xml:space="preserve">Cotação (projetista)</t>
  </si>
  <si>
    <t xml:space="preserve">≈ R$ 145/m, contra R$ 194 a R$ 209/m dos SINAPI de 4"</t>
  </si>
  <si>
    <t xml:space="preserve">8.2.17</t>
  </si>
  <si>
    <t xml:space="preserve">111</t>
  </si>
  <si>
    <t xml:space="preserve">Tê PVC DN 110</t>
  </si>
  <si>
    <t xml:space="preserve">94701</t>
  </si>
  <si>
    <t xml:space="preserve">8.3.5</t>
  </si>
  <si>
    <t xml:space="preserve">126</t>
  </si>
  <si>
    <t xml:space="preserve">Cotovelo 90° galvanizado 2½"</t>
  </si>
  <si>
    <t xml:space="preserve">6</t>
  </si>
  <si>
    <t xml:space="preserve">Bloco D: conferir no isométrico</t>
  </si>
  <si>
    <t xml:space="preserve">94473</t>
  </si>
  <si>
    <t xml:space="preserve">8.3.8</t>
  </si>
  <si>
    <t xml:space="preserve">129</t>
  </si>
  <si>
    <t xml:space="preserve">Tê de redução 2½ × 1¼"</t>
  </si>
  <si>
    <t xml:space="preserve">Bloco D: OK; 2 alívios + 2 manômetros</t>
  </si>
  <si>
    <t xml:space="preserve">Composição 7 (projetista)</t>
  </si>
  <si>
    <t xml:space="preserve">Insumo SINAPI 6317 (tê de redução galv. 2½ × 1¼") + mão de obra SINAPI</t>
  </si>
  <si>
    <t xml:space="preserve">13.4</t>
  </si>
  <si>
    <t xml:space="preserve">261</t>
  </si>
  <si>
    <t xml:space="preserve">Extintor ABC 6 kg</t>
  </si>
  <si>
    <t xml:space="preserve">Bloco G: NÃO OK só por BDI</t>
  </si>
  <si>
    <t xml:space="preserve">Extintor R$ 199,99 (cotação); recomendado trocar pela composição ORSE</t>
  </si>
  <si>
    <t xml:space="preserve">8.3.4</t>
  </si>
  <si>
    <t xml:space="preserve">125</t>
  </si>
  <si>
    <t xml:space="preserve">Cotovelo 45° galvanizado 2½"</t>
  </si>
  <si>
    <t xml:space="preserve">94474</t>
  </si>
  <si>
    <t xml:space="preserve">8.2.2</t>
  </si>
  <si>
    <t xml:space="preserve">96</t>
  </si>
  <si>
    <t xml:space="preserve">Tubo PVC DN 25</t>
  </si>
  <si>
    <t xml:space="preserve">89402</t>
  </si>
  <si>
    <t xml:space="preserve">8.2.15</t>
  </si>
  <si>
    <t xml:space="preserve">109</t>
  </si>
  <si>
    <t xml:space="preserve">Tê PVC DN 60</t>
  </si>
  <si>
    <t xml:space="preserve">7</t>
  </si>
  <si>
    <t xml:space="preserve">94696</t>
  </si>
  <si>
    <t xml:space="preserve">8.3.6</t>
  </si>
  <si>
    <t xml:space="preserve">127</t>
  </si>
  <si>
    <t xml:space="preserve">Luva galvanizada 2½"</t>
  </si>
  <si>
    <t xml:space="preserve">94467</t>
  </si>
  <si>
    <t xml:space="preserve">10.6</t>
  </si>
  <si>
    <t xml:space="preserve">210</t>
  </si>
  <si>
    <t xml:space="preserve">Manômetro 4"</t>
  </si>
  <si>
    <t xml:space="preserve">Bloco E: NÃO VERIFICÁVEL; faixa de pressão</t>
  </si>
  <si>
    <t xml:space="preserve">Manômetro, R$ 168,23</t>
  </si>
  <si>
    <t xml:space="preserve">8.2.12</t>
  </si>
  <si>
    <t xml:space="preserve">106</t>
  </si>
  <si>
    <t xml:space="preserve">Luva PVC DN 110</t>
  </si>
  <si>
    <t xml:space="preserve">94671</t>
  </si>
  <si>
    <t xml:space="preserve">8.2.21</t>
  </si>
  <si>
    <t xml:space="preserve">115</t>
  </si>
  <si>
    <t xml:space="preserve">Adaptador 75 × 2½"</t>
  </si>
  <si>
    <t xml:space="preserve">89613</t>
  </si>
  <si>
    <t xml:space="preserve">8.2.24</t>
  </si>
  <si>
    <t xml:space="preserve">118</t>
  </si>
  <si>
    <t xml:space="preserve">Bucha de redução 32 × 25</t>
  </si>
  <si>
    <t xml:space="preserve">Bloco C: NÃO OK; trocar por SINAPI 103953 (R$ 7,62)</t>
  </si>
  <si>
    <t xml:space="preserve">Composição 5 (projetista)</t>
  </si>
  <si>
    <t xml:space="preserve">Insumo de bucha DN 110 em composição de bucha 32 × 25; a descrição é a do SINAPI 103953 (R$ 7,62)</t>
  </si>
  <si>
    <t xml:space="preserve">13.3</t>
  </si>
  <si>
    <t xml:space="preserve">260</t>
  </si>
  <si>
    <t xml:space="preserve">Suporte para extintores</t>
  </si>
  <si>
    <t xml:space="preserve">Bloco G: ORSE, NÃO VERIFICÁVEL</t>
  </si>
  <si>
    <t xml:space="preserve">1512</t>
  </si>
  <si>
    <t xml:space="preserve">Tabela ORSE não disponível</t>
  </si>
  <si>
    <t xml:space="preserve">8.2.22</t>
  </si>
  <si>
    <t xml:space="preserve">116</t>
  </si>
  <si>
    <t xml:space="preserve">Luva PVC DN 85</t>
  </si>
  <si>
    <t xml:space="preserve">Bloco C: resíduo?</t>
  </si>
  <si>
    <t xml:space="preserve">89614</t>
  </si>
  <si>
    <t xml:space="preserve">8.2.8</t>
  </si>
  <si>
    <t xml:space="preserve">102</t>
  </si>
  <si>
    <t xml:space="preserve">Joelho 90° DN 25</t>
  </si>
  <si>
    <t xml:space="preserve">13</t>
  </si>
  <si>
    <t xml:space="preserve">89408</t>
  </si>
  <si>
    <t xml:space="preserve">13.1</t>
  </si>
  <si>
    <t xml:space="preserve">258</t>
  </si>
  <si>
    <t xml:space="preserve">Placa de rota de fuga</t>
  </si>
  <si>
    <t xml:space="preserve">12895</t>
  </si>
  <si>
    <t xml:space="preserve">8.2.5</t>
  </si>
  <si>
    <t xml:space="preserve">99</t>
  </si>
  <si>
    <t xml:space="preserve">Tubo PVC DN 85</t>
  </si>
  <si>
    <t xml:space="preserve">1 m</t>
  </si>
  <si>
    <t xml:space="preserve">89452</t>
  </si>
  <si>
    <t xml:space="preserve">8.3.3</t>
  </si>
  <si>
    <t xml:space="preserve">124</t>
  </si>
  <si>
    <t xml:space="preserve">Bucha galvanizada 1¼ × ½"</t>
  </si>
  <si>
    <t xml:space="preserve">Bloco D: OK; 2 manômetros</t>
  </si>
  <si>
    <t xml:space="preserve">Composição 6 (projetista)</t>
  </si>
  <si>
    <t xml:space="preserve">Insumo SINAPI 768 (bucha galv. 1¼ × ½") + mão de obra SINAPI</t>
  </si>
  <si>
    <t xml:space="preserve">13.2</t>
  </si>
  <si>
    <t xml:space="preserve">259</t>
  </si>
  <si>
    <t xml:space="preserve">Placa de segurança contra incêndio</t>
  </si>
  <si>
    <t xml:space="preserve">Bloco G: OK com ressalva; só material; BDI → aquisição</t>
  </si>
  <si>
    <t xml:space="preserve">37556 (insumo)</t>
  </si>
  <si>
    <t xml:space="preserve">Igual ao insumo SINAPI-PA 06/2025; só material, sem instalação</t>
  </si>
  <si>
    <t xml:space="preserve">10.12</t>
  </si>
  <si>
    <t xml:space="preserve">216</t>
  </si>
  <si>
    <t xml:space="preserve">Registro de esfera DN 20</t>
  </si>
  <si>
    <t xml:space="preserve">Bloco E: onde entra?</t>
  </si>
  <si>
    <t xml:space="preserve">103047</t>
  </si>
  <si>
    <t xml:space="preserve">8.2.18</t>
  </si>
  <si>
    <t xml:space="preserve">112</t>
  </si>
  <si>
    <t xml:space="preserve">União PVC DN 25</t>
  </si>
  <si>
    <t xml:space="preserve">89428</t>
  </si>
  <si>
    <t xml:space="preserve">8.2.1</t>
  </si>
  <si>
    <t xml:space="preserve">95</t>
  </si>
  <si>
    <t xml:space="preserve">Tubo PVC DN 20</t>
  </si>
  <si>
    <t xml:space="preserve">89401</t>
  </si>
  <si>
    <t xml:space="preserve">8.2.7</t>
  </si>
  <si>
    <t xml:space="preserve">101</t>
  </si>
  <si>
    <t xml:space="preserve">Joelho 90° DN 20</t>
  </si>
  <si>
    <t xml:space="preserve">89404</t>
  </si>
  <si>
    <t xml:space="preserve">Fora do Δ BDI da tabela: CPRB de 3,6% no BDI de serviço (≈ −R$ 3,6 mil, depende do regime do contrato); registros e retenções 10.9 a 10.17 (−R$ 1.670,23 se o critério mudar para aquisição); correção da quantidade do 12.3.6 (−R$ 1.911,15, à parte).</t>
  </si>
  <si>
    <t xml:space="preserve">Fonte dos valores: tabela fornecida pelo usuário (coluna H da aba PLANILHA ORÇAMENTÁRIA). As colunas "% do total" e "% acum." são calculadas por fórmula. Fonte do preço: ver aba Legenda (origem de cada informação).</t>
  </si>
  <si>
    <t xml:space="preserve">Legenda (três usos diferentes de letras)</t>
  </si>
  <si>
    <t xml:space="preserve">1. Classe ABC</t>
  </si>
  <si>
    <t xml:space="preserve">Ordem de valor. A = até 80% do valor acumulado (inclui o item que cruza 80%); B = de 80% a 95%; C = de 95% a 100%.</t>
  </si>
  <si>
    <t xml:space="preserve">2. Coluna "BDI"</t>
  </si>
  <si>
    <t xml:space="preserve">S = BDI de serviço (27,41%); A = BDI de aquisição (16,08%, mero fornecimento de equipamento ou material). "S → A" = a planilha aplicou S, mas o correto é A.</t>
  </si>
  <si>
    <t xml:space="preserve">3. "Bloco A a G"</t>
  </si>
  <si>
    <t xml:space="preserve">Bloco do roteiro de verificação: A = comissionamento (1.13, 1.16) · B = içamento (6.1, 6.2) · C = rede PVC (8.2.x) · D = aço galvanizado (8.3.x) · E = equipamentos e válvulas (10.x) · F = PRFV (12.x) · G = incêndio (13.x).</t>
  </si>
  <si>
    <t xml:space="preserve">Outras colunas</t>
  </si>
  <si>
    <t xml:space="preserve">Número na planilha (com "+" quando duas linhas foram somadas por serem o mesmo objeto de custo).</t>
  </si>
  <si>
    <t xml:space="preserve">Linha na aba PLANILHA ORÇAMENTÁRIA.</t>
  </si>
  <si>
    <t xml:space="preserve">Coluna H da aba PLANILHA ORÇAMENTÁRIA.</t>
  </si>
  <si>
    <t xml:space="preserve">Percentual acumulado do valor (fórmula).</t>
  </si>
  <si>
    <t xml:space="preserve">Δ BDI</t>
  </si>
  <si>
    <t xml:space="preserve">Efeito de trocar o BDI aplicado pelo correto (negativo = redução; 12.3.6 usa quantidade 1).</t>
  </si>
  <si>
    <t xml:space="preserve">Status</t>
  </si>
  <si>
    <t xml:space="preserve">OK · OK com ressalva · NÃO OK (erro comprovado) · NÃO VERIFICÁVEL (falta documento ou fonte).</t>
  </si>
  <si>
    <t xml:space="preserve">Regra de agrupamento</t>
  </si>
  <si>
    <t xml:space="preserve">Só para a análise; a medição continua por linha. Soma linhas que são o mesmo objeto de custo (decantador + frete; guindaste produtivo + improdutivo; registro DN 60 de mesmo código). Não agrupa acessórios que são bens diferentes nem fretes de conjunto.</t>
  </si>
  <si>
    <t xml:space="preserve">Preço igual à tabela SINAPI-PA 06/2025 desonerada, ao centavo (verificado na sessão 1). O código foi identificado pelo preço e pela descrição e conferido com a planilha do projetista (mesmo código nas 36 linhas).</t>
  </si>
  <si>
    <t xml:space="preserve">Código SINAPI que a CAIXA não precifica; o custo foi recomposto pelo orçamentista.</t>
  </si>
  <si>
    <t xml:space="preserve">SEDOP / ORSE / EMBASA</t>
  </si>
  <si>
    <t xml:space="preserve">Tabelas do Pará, de Sergipe e da Bahia. Não estavam disponíveis: preço não conferido. Códigos conferidos na planilha do projetista.</t>
  </si>
  <si>
    <t xml:space="preserve">Proposta única do fornecedor de PRFV (grupo 12).</t>
  </si>
  <si>
    <t xml:space="preserve">Composição própria cujo insumo principal vem de print de loja ou proposta (aba COTAÇÕES INICIAL).</t>
  </si>
  <si>
    <t xml:space="preserve">Composição do orçamentista sem banco oficial identificado para o insumo principal.</t>
  </si>
  <si>
    <t xml:space="preserve">Cores</t>
  </si>
  <si>
    <t xml:space="preserve">Azul claro = classe A · amarelo = classe B · cinza = classe C · laranja nas colunas BDI e Δ BDI = "S → A".</t>
  </si>
  <si>
    <t xml:space="preserve">Comparação: planilha analisada (data-base 06/2025) × planilha do projetista (Sanigy, 23/02/2026)</t>
  </si>
  <si>
    <t xml:space="preserve">Projetista: arquivo "ORÇAMENTO ETE. BARROS BARRETO maio-2026 - entregue.xls", aba PLANILHA ORÇAMENTÁRIA; bases SINAPI 11/2025 desonerado, ORSE 05/2025, SEDOP 10/2025, SICRO3 07/2025 (nota da linha 324). Valores com BDI.</t>
  </si>
  <si>
    <t xml:space="preserve">Qtd analisada</t>
  </si>
  <si>
    <t xml:space="preserve">Qtd projetista</t>
  </si>
  <si>
    <t xml:space="preserve">R$ analisada</t>
  </si>
  <si>
    <t xml:space="preserve">R$ projetista</t>
  </si>
  <si>
    <t xml:space="preserve">Diferença (R$)</t>
  </si>
  <si>
    <t xml:space="preserve">Diferença (%)</t>
  </si>
  <si>
    <t xml:space="preserve">Linha no projetista</t>
  </si>
  <si>
    <t xml:space="preserve">Fonte / código no projetista</t>
  </si>
  <si>
    <t xml:space="preserve">Observação</t>
  </si>
  <si>
    <t xml:space="preserve">264 e 265</t>
  </si>
  <si>
    <t xml:space="preserve">COTAÇÃO - / COTAÇÃO -</t>
  </si>
  <si>
    <t xml:space="preserve">Idêntico (mesma proposta Biomais e mesmo BDI de serviço)</t>
  </si>
  <si>
    <t xml:space="preserve">240 + 480</t>
  </si>
  <si>
    <t xml:space="preserve">66 e 67</t>
  </si>
  <si>
    <t xml:space="preserve">SINAPI 102850 / SINAPI 102851</t>
  </si>
  <si>
    <t xml:space="preserve">Mesmo código sem custo e mesma recomposição (materiais + operador); diferença de R$ 0,22/h nos materiais</t>
  </si>
  <si>
    <t xml:space="preserve">COTAÇÃO -</t>
  </si>
  <si>
    <t xml:space="preserve">Mesmo insumo cotado; a analisada soma mão de obra de instalação, a do projetista é só fornecimento</t>
  </si>
  <si>
    <t xml:space="preserve">EMBASA 41.05.01</t>
  </si>
  <si>
    <t xml:space="preserve">Mesmo código EMBASA; a analisada está 33,9% abaixo. Pedir as duas composições para explicar a diferença</t>
  </si>
  <si>
    <t xml:space="preserve">241</t>
  </si>
  <si>
    <t xml:space="preserve">COTAÇÃO</t>
  </si>
  <si>
    <t xml:space="preserve">15</t>
  </si>
  <si>
    <t xml:space="preserve">257</t>
  </si>
  <si>
    <t xml:space="preserve">SINAPI 94698</t>
  </si>
  <si>
    <t xml:space="preserve">Mesmo código; diferença = data-base do SINAPI (06/2025 na analisada × 11/2025 na do projetista)</t>
  </si>
  <si>
    <t xml:space="preserve">215</t>
  </si>
  <si>
    <t xml:space="preserve">256</t>
  </si>
  <si>
    <t xml:space="preserve">COMPOSIÇÃO 29</t>
  </si>
  <si>
    <t xml:space="preserve">Mesma composição (40 h eng. júnior + 40 h encanador + 20 h auxiliar). A diferença é só a mão de obra: SINAPI-PA 06/2025 na analisada; valores iguais aos do SINAPI-PA 09/2026 na do projetista</t>
  </si>
  <si>
    <t xml:space="preserve">SEDOP 180801</t>
  </si>
  <si>
    <t xml:space="preserve">Idêntico (mesmo código e preço SEDOP)</t>
  </si>
  <si>
    <t xml:space="preserve">39</t>
  </si>
  <si>
    <t xml:space="preserve">SINAPI 94655</t>
  </si>
  <si>
    <t xml:space="preserve">121</t>
  </si>
  <si>
    <t xml:space="preserve">SINAPI 94464</t>
  </si>
  <si>
    <t xml:space="preserve">SINAPI 94715</t>
  </si>
  <si>
    <t xml:space="preserve">COMPOSIÇÃO 4</t>
  </si>
  <si>
    <t xml:space="preserve">Mesma composição própria (diferença de centavos)</t>
  </si>
  <si>
    <t xml:space="preserve">SINAPI 94686</t>
  </si>
  <si>
    <t xml:space="preserve">Idêntico, inclusive a quantidade 2 do frete (a proposta traz 1)</t>
  </si>
  <si>
    <t xml:space="preserve">53</t>
  </si>
  <si>
    <t xml:space="preserve">SINAPI 89451</t>
  </si>
  <si>
    <t xml:space="preserve">SINAPI 89513</t>
  </si>
  <si>
    <t xml:space="preserve">224</t>
  </si>
  <si>
    <t xml:space="preserve">SINAPI 99626</t>
  </si>
  <si>
    <t xml:space="preserve">67</t>
  </si>
  <si>
    <t xml:space="preserve">SINAPI 89450</t>
  </si>
  <si>
    <t xml:space="preserve">219 e 221</t>
  </si>
  <si>
    <t xml:space="preserve">COMPOSIÇÃO 8 / SINAPI 94493</t>
  </si>
  <si>
    <t xml:space="preserve">10.13: data-base do SINAPI. 10.11: a composição 8 do projetista inclui um insumo "escavadeira hidráulica" (R$ 59,00) num registro de PVC; a analisada usa o custo do SINAPI 94493 e corrige o erro</t>
  </si>
  <si>
    <t xml:space="preserve">SINAPI 94697</t>
  </si>
  <si>
    <t xml:space="preserve">SINAPI 92890</t>
  </si>
  <si>
    <t xml:space="preserve">SINAPI 103999</t>
  </si>
  <si>
    <t xml:space="preserve">SINAPI 89427</t>
  </si>
  <si>
    <t xml:space="preserve">222</t>
  </si>
  <si>
    <t xml:space="preserve">225</t>
  </si>
  <si>
    <t xml:space="preserve">SINAPI 99634</t>
  </si>
  <si>
    <t xml:space="preserve">SINAPI 89505</t>
  </si>
  <si>
    <t xml:space="preserve">SINAPI 94468</t>
  </si>
  <si>
    <t xml:space="preserve">223</t>
  </si>
  <si>
    <t xml:space="preserve">SINAPI 99624</t>
  </si>
  <si>
    <t xml:space="preserve">217</t>
  </si>
  <si>
    <t xml:space="preserve">SEDOP 180803</t>
  </si>
  <si>
    <t xml:space="preserve">SINAPI 94687</t>
  </si>
  <si>
    <t xml:space="preserve">SINAPI 89383</t>
  </si>
  <si>
    <t xml:space="preserve">SINAPI 94701</t>
  </si>
  <si>
    <t xml:space="preserve">SINAPI 94473</t>
  </si>
  <si>
    <t xml:space="preserve">COMPOSIÇÃO 7</t>
  </si>
  <si>
    <t xml:space="preserve">272</t>
  </si>
  <si>
    <t xml:space="preserve">SINAPI 94474</t>
  </si>
  <si>
    <t xml:space="preserve">SINAPI 89402</t>
  </si>
  <si>
    <t xml:space="preserve">SINAPI 94696</t>
  </si>
  <si>
    <t xml:space="preserve">SINAPI 94467</t>
  </si>
  <si>
    <t xml:space="preserve">Idêntico (só fornecimento nas duas)</t>
  </si>
  <si>
    <t xml:space="preserve">SINAPI 94671</t>
  </si>
  <si>
    <t xml:space="preserve">SINAPI 89613</t>
  </si>
  <si>
    <t xml:space="preserve">COMPOSIÇÃO 5</t>
  </si>
  <si>
    <t xml:space="preserve">Mesma composição com insumo errado; projetista R$ 142,75 e analisada R$ 101,40 sem BDI; SINAPI 103953 = R$ 7,62</t>
  </si>
  <si>
    <t xml:space="preserve">271</t>
  </si>
  <si>
    <t xml:space="preserve">ORSE 1512</t>
  </si>
  <si>
    <t xml:space="preserve">Mesma fonte ORSE (diferença de centavos)</t>
  </si>
  <si>
    <t xml:space="preserve">SINAPI 89614</t>
  </si>
  <si>
    <t xml:space="preserve">SINAPI 89408</t>
  </si>
  <si>
    <t xml:space="preserve">269</t>
  </si>
  <si>
    <t xml:space="preserve">ORSE 12895</t>
  </si>
  <si>
    <t xml:space="preserve">SINAPI 89452</t>
  </si>
  <si>
    <t xml:space="preserve">COMPOSIÇÃO 6</t>
  </si>
  <si>
    <t xml:space="preserve">270</t>
  </si>
  <si>
    <t xml:space="preserve">SINAPI 37556</t>
  </si>
  <si>
    <t xml:space="preserve">Idêntico</t>
  </si>
  <si>
    <t xml:space="preserve">SINAPI 103047</t>
  </si>
  <si>
    <t xml:space="preserve">QUANTIDADE DIVERGE: 2 na analisada, 1 na do projetista</t>
  </si>
  <si>
    <t xml:space="preserve">SINAPI 89428</t>
  </si>
  <si>
    <t xml:space="preserve">94</t>
  </si>
  <si>
    <t xml:space="preserve">SINAPI 89401</t>
  </si>
  <si>
    <t xml:space="preserve">SINAPI 89404</t>
  </si>
  <si>
    <t xml:space="preserve">Total do escopo mecânico</t>
  </si>
  <si>
    <t xml:space="preserve">Diferença positiva = a planilha analisada está acima da do projetista. Linhas em amarelo: diferenças que não são de data-base nem de mão de obra.</t>
  </si>
  <si>
    <t xml:space="preserve">Totais gerais (fora do escopo mecânico): analisada R$ 2.343.873,57 (HANDOFF, seção 3) × projetista R$ 1.892.034,82 (aba RESUMO). A diferença de R$ 451.838,75 está nos grupos não mecânicos e precisa da planilha analisada para ser localizada.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</si>
</sst>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;\-#,##0.00;\—"/>
    <numFmt numFmtId="167" formatCode="0.0%"/>
    <numFmt numFmtId="168" formatCode="0.0%;\-0.0%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COUNTIF('Curva ABC'!$A$5:$A$81,A5)</f>
        <v>19</v>
      </c>
      <c r="C5" s="6" t="n">
        <f aca="false">SUMIF('Curva ABC'!$A$5:$A$81,A5,'Curva ABC'!$G$5:$G$81)</f>
        <v>631986.26</v>
      </c>
      <c r="D5" s="7" t="n">
        <f aca="false">C5/$C$8</f>
        <v>0.811571436790052</v>
      </c>
      <c r="E5" s="6" t="n">
        <f aca="false">SUMIF('Curva ABC'!$A$5:$A$81,A5,'Curva ABC'!$K$5:$K$81)</f>
        <v>-23632.54</v>
      </c>
    </row>
    <row r="6" customFormat="false" ht="15" hidden="false" customHeight="false" outlineLevel="0" collapsed="false">
      <c r="A6" s="8" t="s">
        <v>8</v>
      </c>
      <c r="B6" s="9" t="n">
        <f aca="false">COUNTIF('Curva ABC'!$A$5:$A$81,A6)</f>
        <v>20</v>
      </c>
      <c r="C6" s="10" t="n">
        <f aca="false">SUMIF('Curva ABC'!$A$5:$A$81,A6,'Curva ABC'!$G$5:$G$81)</f>
        <v>109648.24</v>
      </c>
      <c r="D6" s="11" t="n">
        <f aca="false">C6/$C$8</f>
        <v>0.140805877137741</v>
      </c>
      <c r="E6" s="10" t="n">
        <f aca="false">SUMIF('Curva ABC'!$A$5:$A$81,A6,'Curva ABC'!$K$5:$K$81)</f>
        <v>-904.83</v>
      </c>
    </row>
    <row r="7" customFormat="false" ht="15" hidden="false" customHeight="false" outlineLevel="0" collapsed="false">
      <c r="A7" s="12" t="s">
        <v>9</v>
      </c>
      <c r="B7" s="13" t="n">
        <f aca="false">COUNTIF('Curva ABC'!$A$5:$A$81,A7)</f>
        <v>38</v>
      </c>
      <c r="C7" s="14" t="n">
        <f aca="false">SUMIF('Curva ABC'!$A$5:$A$81,A7,'Curva ABC'!$G$5:$G$81)</f>
        <v>37084.7</v>
      </c>
      <c r="D7" s="15" t="n">
        <f aca="false">C7/$C$8</f>
        <v>0.0476226860722068</v>
      </c>
      <c r="E7" s="14" t="n">
        <f aca="false">SUMIF('Curva ABC'!$A$5:$A$81,A7,'Curva ABC'!$K$5:$K$81)</f>
        <v>-418.59</v>
      </c>
    </row>
    <row r="8" customFormat="false" ht="15" hidden="false" customHeight="false" outlineLevel="0" collapsed="false">
      <c r="A8" s="16" t="s">
        <v>10</v>
      </c>
      <c r="B8" s="17" t="n">
        <f aca="false">SUM(B5:B7)</f>
        <v>77</v>
      </c>
      <c r="C8" s="18" t="n">
        <f aca="false">SUM(C5:C7)</f>
        <v>778719.2</v>
      </c>
      <c r="D8" s="19" t="n">
        <f aca="false">SUM(D5:D7)</f>
        <v>1</v>
      </c>
      <c r="E8" s="18" t="n">
        <f aca="false">SUM(E5:E7)</f>
        <v>-24955.96</v>
      </c>
    </row>
    <row r="10" customFormat="false" ht="15" hidden="false" customHeight="false" outlineLevel="0" collapsed="false">
      <c r="A10" s="2" t="s">
        <v>11</v>
      </c>
    </row>
    <row r="12" customFormat="false" ht="15" hidden="false" customHeight="false" outlineLevel="0" collapsed="false">
      <c r="A12" s="20" t="s">
        <v>12</v>
      </c>
    </row>
    <row r="13" customFormat="false" ht="15" hidden="false" customHeight="false" outlineLevel="0" collapsed="false">
      <c r="A13" s="3" t="s">
        <v>13</v>
      </c>
      <c r="B13" s="3" t="s">
        <v>3</v>
      </c>
      <c r="C13" s="3" t="s">
        <v>4</v>
      </c>
      <c r="D13" s="3" t="s">
        <v>5</v>
      </c>
    </row>
    <row r="14" customFormat="false" ht="15" hidden="false" customHeight="false" outlineLevel="0" collapsed="false">
      <c r="A14" s="21" t="s">
        <v>14</v>
      </c>
      <c r="B14" s="21" t="n">
        <f aca="false">COUNTIF('Curva ABC'!$M$5:$M$81,A14)</f>
        <v>36</v>
      </c>
      <c r="C14" s="22" t="n">
        <f aca="false">SUMIF('Curva ABC'!$M$5:$M$81,A14,'Curva ABC'!$G$5:$G$81)</f>
        <v>79608.58</v>
      </c>
      <c r="D14" s="23" t="n">
        <f aca="false">C14/$C$22</f>
        <v>0.102230149198838</v>
      </c>
    </row>
    <row r="15" customFormat="false" ht="15" hidden="false" customHeight="false" outlineLevel="0" collapsed="false">
      <c r="A15" s="21" t="s">
        <v>15</v>
      </c>
      <c r="B15" s="21" t="n">
        <f aca="false">COUNTIF('Curva ABC'!$M$5:$M$81,A15)</f>
        <v>1</v>
      </c>
      <c r="C15" s="22" t="n">
        <f aca="false">SUMIF('Curva ABC'!$M$5:$M$81,A15,'Curva ABC'!$G$5:$G$81)</f>
        <v>47892</v>
      </c>
      <c r="D15" s="23" t="n">
        <f aca="false">C15/$C$22</f>
        <v>0.0615009877758247</v>
      </c>
    </row>
    <row r="16" customFormat="false" ht="15" hidden="false" customHeight="false" outlineLevel="0" collapsed="false">
      <c r="A16" s="21" t="s">
        <v>16</v>
      </c>
      <c r="B16" s="21" t="n">
        <f aca="false">COUNTIF('Curva ABC'!$M$5:$M$81,A16)</f>
        <v>2</v>
      </c>
      <c r="C16" s="22" t="n">
        <f aca="false">SUMIF('Curva ABC'!$M$5:$M$81,A16,'Curva ABC'!$G$5:$G$81)</f>
        <v>9093.33</v>
      </c>
      <c r="D16" s="23" t="n">
        <f aca="false">C16/$C$22</f>
        <v>0.0116772900937848</v>
      </c>
    </row>
    <row r="17" customFormat="false" ht="15" hidden="false" customHeight="false" outlineLevel="0" collapsed="false">
      <c r="A17" s="21" t="s">
        <v>17</v>
      </c>
      <c r="B17" s="21" t="n">
        <f aca="false">COUNTIF('Curva ABC'!$M$5:$M$81,A17)</f>
        <v>2</v>
      </c>
      <c r="C17" s="22" t="n">
        <f aca="false">SUMIF('Curva ABC'!$M$5:$M$81,A17,'Curva ABC'!$G$5:$G$81)</f>
        <v>338.55</v>
      </c>
      <c r="D17" s="23" t="n">
        <f aca="false">C17/$C$22</f>
        <v>0.000434752347187536</v>
      </c>
    </row>
    <row r="18" customFormat="false" ht="15" hidden="false" customHeight="false" outlineLevel="0" collapsed="false">
      <c r="A18" s="21" t="s">
        <v>18</v>
      </c>
      <c r="B18" s="21" t="n">
        <f aca="false">COUNTIF('Curva ABC'!$M$5:$M$81,A18)</f>
        <v>1</v>
      </c>
      <c r="C18" s="22" t="n">
        <f aca="false">SUMIF('Curva ABC'!$M$5:$M$81,A18,'Curva ABC'!$G$5:$G$81)</f>
        <v>25370.35</v>
      </c>
      <c r="D18" s="23" t="n">
        <f aca="false">C18/$C$22</f>
        <v>0.03257958709635</v>
      </c>
    </row>
    <row r="19" customFormat="false" ht="15" hidden="false" customHeight="false" outlineLevel="0" collapsed="false">
      <c r="A19" s="21" t="s">
        <v>19</v>
      </c>
      <c r="B19" s="21" t="n">
        <f aca="false">COUNTIF('Curva ABC'!$M$5:$M$81,A19)</f>
        <v>19</v>
      </c>
      <c r="C19" s="22" t="n">
        <f aca="false">SUMIF('Curva ABC'!$M$5:$M$81,A19,'Curva ABC'!$G$5:$G$81)</f>
        <v>493404.28</v>
      </c>
      <c r="D19" s="23" t="n">
        <f aca="false">C19/$C$22</f>
        <v>0.633610009872622</v>
      </c>
    </row>
    <row r="20" customFormat="false" ht="15" hidden="false" customHeight="false" outlineLevel="0" collapsed="false">
      <c r="A20" s="21" t="s">
        <v>20</v>
      </c>
      <c r="B20" s="21" t="n">
        <f aca="false">COUNTIF('Curva ABC'!$M$5:$M$81,A20)</f>
        <v>11</v>
      </c>
      <c r="C20" s="22" t="n">
        <f aca="false">SUMIF('Curva ABC'!$M$5:$M$81,A20,'Curva ABC'!$G$5:$G$81)</f>
        <v>108797.46</v>
      </c>
      <c r="D20" s="23" t="n">
        <f aca="false">C20/$C$22</f>
        <v>0.139713339545243</v>
      </c>
    </row>
    <row r="21" customFormat="false" ht="15" hidden="false" customHeight="false" outlineLevel="0" collapsed="false">
      <c r="A21" s="21" t="s">
        <v>21</v>
      </c>
      <c r="B21" s="21" t="n">
        <f aca="false">COUNTIF('Curva ABC'!$M$5:$M$81,A21)</f>
        <v>5</v>
      </c>
      <c r="C21" s="22" t="n">
        <f aca="false">SUMIF('Curva ABC'!$M$5:$M$81,A21,'Curva ABC'!$G$5:$G$81)</f>
        <v>14214.65</v>
      </c>
      <c r="D21" s="23" t="n">
        <f aca="false">C21/$C$22</f>
        <v>0.0182538840701501</v>
      </c>
    </row>
    <row r="22" customFormat="false" ht="15" hidden="false" customHeight="false" outlineLevel="0" collapsed="false">
      <c r="A22" s="17" t="s">
        <v>10</v>
      </c>
      <c r="B22" s="17" t="n">
        <f aca="false">SUM(B14:B21)</f>
        <v>77</v>
      </c>
      <c r="C22" s="18" t="n">
        <f aca="false">SUM(C14:C21)</f>
        <v>778719.2</v>
      </c>
      <c r="D22" s="19" t="n">
        <f aca="false">SUM(D14:D21)</f>
        <v>1</v>
      </c>
    </row>
    <row r="23" customFormat="false" ht="15" hidden="false" customHeight="false" outlineLevel="0" collapsed="false">
      <c r="A23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80"/>
    <col collapsed="false" customWidth="true" hidden="false" outlineLevel="0" max="13" min="13" style="0" width="20"/>
    <col collapsed="false" customWidth="true" hidden="false" outlineLevel="0" max="14" min="14" style="0" width="26"/>
    <col collapsed="false" customWidth="true" hidden="false" outlineLevel="0" max="15" min="15" style="0" width="60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0" hidden="false" customHeight="true" outlineLevel="0" collapsed="false">
      <c r="A4" s="24" t="s">
        <v>2</v>
      </c>
      <c r="B4" s="24" t="s">
        <v>25</v>
      </c>
      <c r="C4" s="24" t="s">
        <v>26</v>
      </c>
      <c r="D4" s="24" t="s">
        <v>27</v>
      </c>
      <c r="E4" s="24" t="s">
        <v>28</v>
      </c>
      <c r="F4" s="24" t="s">
        <v>29</v>
      </c>
      <c r="G4" s="24" t="s">
        <v>30</v>
      </c>
      <c r="H4" s="24" t="s">
        <v>31</v>
      </c>
      <c r="I4" s="24" t="s">
        <v>32</v>
      </c>
      <c r="J4" s="24" t="s">
        <v>33</v>
      </c>
      <c r="K4" s="24" t="s">
        <v>6</v>
      </c>
      <c r="L4" s="24" t="s">
        <v>34</v>
      </c>
      <c r="M4" s="24" t="s">
        <v>35</v>
      </c>
      <c r="N4" s="24" t="s">
        <v>36</v>
      </c>
      <c r="O4" s="24" t="s">
        <v>37</v>
      </c>
    </row>
    <row r="5" customFormat="false" ht="22.35" hidden="false" customHeight="false" outlineLevel="0" collapsed="false">
      <c r="A5" s="25" t="s">
        <v>7</v>
      </c>
      <c r="B5" s="25" t="n">
        <v>1</v>
      </c>
      <c r="C5" s="26" t="s">
        <v>38</v>
      </c>
      <c r="D5" s="25" t="s">
        <v>39</v>
      </c>
      <c r="E5" s="27" t="s">
        <v>40</v>
      </c>
      <c r="F5" s="25" t="s">
        <v>41</v>
      </c>
      <c r="G5" s="28" t="n">
        <v>215671.4</v>
      </c>
      <c r="H5" s="29" t="n">
        <f aca="false">G5/$G$82</f>
        <v>0.276956571765535</v>
      </c>
      <c r="I5" s="29" t="n">
        <f aca="false">SUM($G$5:G5)/$G$82</f>
        <v>0.276956571765535</v>
      </c>
      <c r="J5" s="30" t="s">
        <v>42</v>
      </c>
      <c r="K5" s="31" t="n">
        <v>-19178.68</v>
      </c>
      <c r="L5" s="27" t="s">
        <v>43</v>
      </c>
      <c r="M5" s="26" t="s">
        <v>19</v>
      </c>
      <c r="N5" s="27" t="s">
        <v>44</v>
      </c>
      <c r="O5" s="27" t="s">
        <v>45</v>
      </c>
    </row>
    <row r="6" customFormat="false" ht="22.35" hidden="false" customHeight="false" outlineLevel="0" collapsed="false">
      <c r="A6" s="25" t="s">
        <v>7</v>
      </c>
      <c r="B6" s="25" t="n">
        <v>2</v>
      </c>
      <c r="C6" s="26" t="s">
        <v>46</v>
      </c>
      <c r="D6" s="25" t="s">
        <v>47</v>
      </c>
      <c r="E6" s="27" t="s">
        <v>48</v>
      </c>
      <c r="F6" s="25" t="s">
        <v>49</v>
      </c>
      <c r="G6" s="28" t="n">
        <v>47892</v>
      </c>
      <c r="H6" s="29" t="n">
        <f aca="false">G6/$G$82</f>
        <v>0.0615009877758247</v>
      </c>
      <c r="I6" s="29" t="n">
        <f aca="false">SUM($G$5:G6)/$G$82</f>
        <v>0.33845755954136</v>
      </c>
      <c r="J6" s="25" t="s">
        <v>50</v>
      </c>
      <c r="K6" s="28"/>
      <c r="L6" s="27" t="s">
        <v>51</v>
      </c>
      <c r="M6" s="26" t="s">
        <v>15</v>
      </c>
      <c r="N6" s="27" t="s">
        <v>52</v>
      </c>
      <c r="O6" s="27" t="s">
        <v>53</v>
      </c>
    </row>
    <row r="7" customFormat="false" ht="22.35" hidden="false" customHeight="false" outlineLevel="0" collapsed="false">
      <c r="A7" s="25" t="s">
        <v>7</v>
      </c>
      <c r="B7" s="25" t="n">
        <v>3</v>
      </c>
      <c r="C7" s="26" t="s">
        <v>54</v>
      </c>
      <c r="D7" s="25" t="s">
        <v>55</v>
      </c>
      <c r="E7" s="27" t="s">
        <v>56</v>
      </c>
      <c r="F7" s="25" t="s">
        <v>57</v>
      </c>
      <c r="G7" s="28" t="n">
        <v>33609.38</v>
      </c>
      <c r="H7" s="29" t="n">
        <f aca="false">G7/$G$82</f>
        <v>0.0431598193546531</v>
      </c>
      <c r="I7" s="29" t="n">
        <f aca="false">SUM($G$5:G7)/$G$82</f>
        <v>0.381617378896013</v>
      </c>
      <c r="J7" s="25" t="s">
        <v>50</v>
      </c>
      <c r="K7" s="28"/>
      <c r="L7" s="27" t="s">
        <v>58</v>
      </c>
      <c r="M7" s="26" t="s">
        <v>19</v>
      </c>
      <c r="N7" s="27" t="s">
        <v>44</v>
      </c>
      <c r="O7" s="27" t="s">
        <v>45</v>
      </c>
    </row>
    <row r="8" customFormat="false" ht="22.35" hidden="false" customHeight="false" outlineLevel="0" collapsed="false">
      <c r="A8" s="25" t="s">
        <v>7</v>
      </c>
      <c r="B8" s="25" t="n">
        <v>4</v>
      </c>
      <c r="C8" s="26" t="s">
        <v>59</v>
      </c>
      <c r="D8" s="25" t="s">
        <v>60</v>
      </c>
      <c r="E8" s="27" t="s">
        <v>61</v>
      </c>
      <c r="F8" s="25" t="s">
        <v>62</v>
      </c>
      <c r="G8" s="28" t="n">
        <v>30354.8</v>
      </c>
      <c r="H8" s="29" t="n">
        <f aca="false">G8/$G$82</f>
        <v>0.0389804181019294</v>
      </c>
      <c r="I8" s="29" t="n">
        <f aca="false">SUM($G$5:G8)/$G$82</f>
        <v>0.420597796997942</v>
      </c>
      <c r="J8" s="25" t="s">
        <v>7</v>
      </c>
      <c r="K8" s="28"/>
      <c r="L8" s="27" t="s">
        <v>63</v>
      </c>
      <c r="M8" s="26" t="s">
        <v>20</v>
      </c>
      <c r="N8" s="27" t="s">
        <v>64</v>
      </c>
      <c r="O8" s="27" t="s">
        <v>65</v>
      </c>
    </row>
    <row r="9" customFormat="false" ht="22.35" hidden="false" customHeight="false" outlineLevel="0" collapsed="false">
      <c r="A9" s="25" t="s">
        <v>7</v>
      </c>
      <c r="B9" s="25" t="n">
        <v>5</v>
      </c>
      <c r="C9" s="26" t="s">
        <v>66</v>
      </c>
      <c r="D9" s="25" t="s">
        <v>67</v>
      </c>
      <c r="E9" s="27" t="s">
        <v>68</v>
      </c>
      <c r="F9" s="25" t="s">
        <v>57</v>
      </c>
      <c r="G9" s="28" t="n">
        <v>29576.26</v>
      </c>
      <c r="H9" s="29" t="n">
        <f aca="false">G9/$G$82</f>
        <v>0.0379806482233904</v>
      </c>
      <c r="I9" s="29" t="n">
        <f aca="false">SUM($G$5:G9)/$G$82</f>
        <v>0.458578445221333</v>
      </c>
      <c r="J9" s="25" t="s">
        <v>50</v>
      </c>
      <c r="K9" s="28"/>
      <c r="L9" s="27" t="s">
        <v>69</v>
      </c>
      <c r="M9" s="26" t="s">
        <v>19</v>
      </c>
      <c r="N9" s="27" t="s">
        <v>44</v>
      </c>
      <c r="O9" s="27" t="s">
        <v>45</v>
      </c>
    </row>
    <row r="10" customFormat="false" ht="22.35" hidden="false" customHeight="false" outlineLevel="0" collapsed="false">
      <c r="A10" s="25" t="s">
        <v>7</v>
      </c>
      <c r="B10" s="25" t="n">
        <v>6</v>
      </c>
      <c r="C10" s="26" t="s">
        <v>70</v>
      </c>
      <c r="D10" s="25" t="s">
        <v>71</v>
      </c>
      <c r="E10" s="27" t="s">
        <v>72</v>
      </c>
      <c r="F10" s="25" t="s">
        <v>57</v>
      </c>
      <c r="G10" s="28" t="n">
        <v>29576.26</v>
      </c>
      <c r="H10" s="29" t="n">
        <f aca="false">G10/$G$82</f>
        <v>0.0379806482233904</v>
      </c>
      <c r="I10" s="29" t="n">
        <f aca="false">SUM($G$5:G10)/$G$82</f>
        <v>0.496559093444723</v>
      </c>
      <c r="J10" s="25" t="s">
        <v>50</v>
      </c>
      <c r="K10" s="28"/>
      <c r="L10" s="27" t="s">
        <v>73</v>
      </c>
      <c r="M10" s="26" t="s">
        <v>19</v>
      </c>
      <c r="N10" s="27" t="s">
        <v>44</v>
      </c>
      <c r="O10" s="27" t="s">
        <v>45</v>
      </c>
    </row>
    <row r="11" customFormat="false" ht="22.35" hidden="false" customHeight="false" outlineLevel="0" collapsed="false">
      <c r="A11" s="25" t="s">
        <v>7</v>
      </c>
      <c r="B11" s="25" t="n">
        <v>7</v>
      </c>
      <c r="C11" s="26" t="s">
        <v>74</v>
      </c>
      <c r="D11" s="25" t="s">
        <v>75</v>
      </c>
      <c r="E11" s="27" t="s">
        <v>76</v>
      </c>
      <c r="F11" s="25" t="s">
        <v>57</v>
      </c>
      <c r="G11" s="28" t="n">
        <v>25886.62</v>
      </c>
      <c r="H11" s="29" t="n">
        <f aca="false">G11/$G$82</f>
        <v>0.0332425603478122</v>
      </c>
      <c r="I11" s="29" t="n">
        <f aca="false">SUM($G$5:G11)/$G$82</f>
        <v>0.529801653792535</v>
      </c>
      <c r="J11" s="30" t="s">
        <v>42</v>
      </c>
      <c r="K11" s="31" t="n">
        <v>-2301.98</v>
      </c>
      <c r="L11" s="27" t="s">
        <v>77</v>
      </c>
      <c r="M11" s="26" t="s">
        <v>19</v>
      </c>
      <c r="N11" s="27" t="s">
        <v>44</v>
      </c>
      <c r="O11" s="27" t="s">
        <v>45</v>
      </c>
    </row>
    <row r="12" customFormat="false" ht="22.35" hidden="false" customHeight="false" outlineLevel="0" collapsed="false">
      <c r="A12" s="25" t="s">
        <v>7</v>
      </c>
      <c r="B12" s="25" t="n">
        <v>8</v>
      </c>
      <c r="C12" s="26" t="s">
        <v>78</v>
      </c>
      <c r="D12" s="25" t="s">
        <v>79</v>
      </c>
      <c r="E12" s="27" t="s">
        <v>80</v>
      </c>
      <c r="F12" s="25" t="s">
        <v>81</v>
      </c>
      <c r="G12" s="28" t="n">
        <v>25370.35</v>
      </c>
      <c r="H12" s="29" t="n">
        <f aca="false">G12/$G$82</f>
        <v>0.03257958709635</v>
      </c>
      <c r="I12" s="29" t="n">
        <f aca="false">SUM($G$5:G12)/$G$82</f>
        <v>0.562381240888885</v>
      </c>
      <c r="J12" s="25" t="s">
        <v>50</v>
      </c>
      <c r="K12" s="28"/>
      <c r="L12" s="27" t="s">
        <v>82</v>
      </c>
      <c r="M12" s="26" t="s">
        <v>18</v>
      </c>
      <c r="N12" s="27" t="s">
        <v>83</v>
      </c>
      <c r="O12" s="27" t="s">
        <v>84</v>
      </c>
    </row>
    <row r="13" customFormat="false" ht="22.35" hidden="false" customHeight="false" outlineLevel="0" collapsed="false">
      <c r="A13" s="25" t="s">
        <v>7</v>
      </c>
      <c r="B13" s="25" t="n">
        <v>9</v>
      </c>
      <c r="C13" s="26" t="s">
        <v>85</v>
      </c>
      <c r="D13" s="25" t="s">
        <v>86</v>
      </c>
      <c r="E13" s="27" t="s">
        <v>87</v>
      </c>
      <c r="F13" s="25" t="s">
        <v>57</v>
      </c>
      <c r="G13" s="28" t="n">
        <v>24987.56</v>
      </c>
      <c r="H13" s="29" t="n">
        <f aca="false">G13/$G$82</f>
        <v>0.0320880235134821</v>
      </c>
      <c r="I13" s="29" t="n">
        <f aca="false">SUM($G$5:G13)/$G$82</f>
        <v>0.594469264402368</v>
      </c>
      <c r="J13" s="25" t="s">
        <v>7</v>
      </c>
      <c r="K13" s="28"/>
      <c r="L13" s="27" t="s">
        <v>88</v>
      </c>
      <c r="M13" s="26" t="s">
        <v>20</v>
      </c>
      <c r="N13" s="27" t="s">
        <v>89</v>
      </c>
      <c r="O13" s="27" t="s">
        <v>90</v>
      </c>
    </row>
    <row r="14" customFormat="false" ht="22.35" hidden="false" customHeight="false" outlineLevel="0" collapsed="false">
      <c r="A14" s="25" t="s">
        <v>7</v>
      </c>
      <c r="B14" s="25" t="n">
        <v>10</v>
      </c>
      <c r="C14" s="26" t="s">
        <v>91</v>
      </c>
      <c r="D14" s="25" t="s">
        <v>92</v>
      </c>
      <c r="E14" s="27" t="s">
        <v>93</v>
      </c>
      <c r="F14" s="25" t="s">
        <v>57</v>
      </c>
      <c r="G14" s="28" t="n">
        <v>24198.74</v>
      </c>
      <c r="H14" s="29" t="n">
        <f aca="false">G14/$G$82</f>
        <v>0.0310750524707751</v>
      </c>
      <c r="I14" s="29" t="n">
        <f aca="false">SUM($G$5:G14)/$G$82</f>
        <v>0.625544316873143</v>
      </c>
      <c r="J14" s="30" t="s">
        <v>42</v>
      </c>
      <c r="K14" s="31" t="n">
        <v>-2151.88</v>
      </c>
      <c r="L14" s="27" t="s">
        <v>77</v>
      </c>
      <c r="M14" s="26" t="s">
        <v>19</v>
      </c>
      <c r="N14" s="27" t="s">
        <v>44</v>
      </c>
      <c r="O14" s="27" t="s">
        <v>45</v>
      </c>
    </row>
    <row r="15" customFormat="false" ht="22.35" hidden="false" customHeight="false" outlineLevel="0" collapsed="false">
      <c r="A15" s="25" t="s">
        <v>7</v>
      </c>
      <c r="B15" s="25" t="n">
        <v>11</v>
      </c>
      <c r="C15" s="26" t="s">
        <v>94</v>
      </c>
      <c r="D15" s="25" t="s">
        <v>95</v>
      </c>
      <c r="E15" s="27" t="s">
        <v>96</v>
      </c>
      <c r="F15" s="25" t="s">
        <v>57</v>
      </c>
      <c r="G15" s="28" t="n">
        <v>24198.74</v>
      </c>
      <c r="H15" s="29" t="n">
        <f aca="false">G15/$G$82</f>
        <v>0.0310750524707751</v>
      </c>
      <c r="I15" s="29" t="n">
        <f aca="false">SUM($G$5:G15)/$G$82</f>
        <v>0.656619369343918</v>
      </c>
      <c r="J15" s="25" t="s">
        <v>50</v>
      </c>
      <c r="K15" s="28"/>
      <c r="L15" s="27" t="s">
        <v>69</v>
      </c>
      <c r="M15" s="26" t="s">
        <v>19</v>
      </c>
      <c r="N15" s="27" t="s">
        <v>44</v>
      </c>
      <c r="O15" s="27" t="s">
        <v>45</v>
      </c>
    </row>
    <row r="16" customFormat="false" ht="15" hidden="false" customHeight="false" outlineLevel="0" collapsed="false">
      <c r="A16" s="25" t="s">
        <v>7</v>
      </c>
      <c r="B16" s="25" t="n">
        <v>12</v>
      </c>
      <c r="C16" s="26" t="s">
        <v>97</v>
      </c>
      <c r="D16" s="25" t="s">
        <v>98</v>
      </c>
      <c r="E16" s="27" t="s">
        <v>99</v>
      </c>
      <c r="F16" s="25" t="s">
        <v>100</v>
      </c>
      <c r="G16" s="28" t="n">
        <v>21270.15</v>
      </c>
      <c r="H16" s="29" t="n">
        <f aca="false">G16/$G$82</f>
        <v>0.0273142745164111</v>
      </c>
      <c r="I16" s="29" t="n">
        <f aca="false">SUM($G$5:G16)/$G$82</f>
        <v>0.683933643860329</v>
      </c>
      <c r="J16" s="25" t="s">
        <v>7</v>
      </c>
      <c r="K16" s="28"/>
      <c r="L16" s="27" t="s">
        <v>101</v>
      </c>
      <c r="M16" s="26" t="s">
        <v>20</v>
      </c>
      <c r="N16" s="27" t="s">
        <v>102</v>
      </c>
      <c r="O16" s="27" t="s">
        <v>103</v>
      </c>
    </row>
    <row r="17" customFormat="false" ht="22.35" hidden="false" customHeight="false" outlineLevel="0" collapsed="false">
      <c r="A17" s="25" t="s">
        <v>7</v>
      </c>
      <c r="B17" s="25" t="n">
        <v>13</v>
      </c>
      <c r="C17" s="26" t="s">
        <v>104</v>
      </c>
      <c r="D17" s="25" t="s">
        <v>105</v>
      </c>
      <c r="E17" s="27" t="s">
        <v>106</v>
      </c>
      <c r="F17" s="25" t="s">
        <v>57</v>
      </c>
      <c r="G17" s="28" t="n">
        <v>17476.88</v>
      </c>
      <c r="H17" s="29" t="n">
        <f aca="false">G17/$G$82</f>
        <v>0.0224431091464035</v>
      </c>
      <c r="I17" s="29" t="n">
        <f aca="false">SUM($G$5:G17)/$G$82</f>
        <v>0.706376753006732</v>
      </c>
      <c r="J17" s="25" t="s">
        <v>50</v>
      </c>
      <c r="K17" s="28"/>
      <c r="L17" s="27" t="s">
        <v>107</v>
      </c>
      <c r="M17" s="26" t="s">
        <v>19</v>
      </c>
      <c r="N17" s="27" t="s">
        <v>44</v>
      </c>
      <c r="O17" s="27" t="s">
        <v>45</v>
      </c>
    </row>
    <row r="18" customFormat="false" ht="22.35" hidden="false" customHeight="false" outlineLevel="0" collapsed="false">
      <c r="A18" s="25" t="s">
        <v>7</v>
      </c>
      <c r="B18" s="25" t="n">
        <v>14</v>
      </c>
      <c r="C18" s="26" t="s">
        <v>108</v>
      </c>
      <c r="D18" s="25" t="s">
        <v>109</v>
      </c>
      <c r="E18" s="27" t="s">
        <v>110</v>
      </c>
      <c r="F18" s="25" t="s">
        <v>57</v>
      </c>
      <c r="G18" s="28" t="n">
        <v>16132.5</v>
      </c>
      <c r="H18" s="29" t="n">
        <f aca="false">G18/$G$82</f>
        <v>0.0207167102082497</v>
      </c>
      <c r="I18" s="29" t="n">
        <f aca="false">SUM($G$5:G18)/$G$82</f>
        <v>0.727093463214982</v>
      </c>
      <c r="J18" s="25" t="s">
        <v>50</v>
      </c>
      <c r="K18" s="28"/>
      <c r="L18" s="27" t="s">
        <v>111</v>
      </c>
      <c r="M18" s="26" t="s">
        <v>19</v>
      </c>
      <c r="N18" s="27" t="s">
        <v>44</v>
      </c>
      <c r="O18" s="27" t="s">
        <v>45</v>
      </c>
    </row>
    <row r="19" customFormat="false" ht="22.35" hidden="false" customHeight="false" outlineLevel="0" collapsed="false">
      <c r="A19" s="25" t="s">
        <v>7</v>
      </c>
      <c r="B19" s="25" t="n">
        <v>15</v>
      </c>
      <c r="C19" s="26" t="s">
        <v>112</v>
      </c>
      <c r="D19" s="25" t="s">
        <v>113</v>
      </c>
      <c r="E19" s="27" t="s">
        <v>114</v>
      </c>
      <c r="F19" s="25" t="s">
        <v>57</v>
      </c>
      <c r="G19" s="28" t="n">
        <v>16132.5</v>
      </c>
      <c r="H19" s="29" t="n">
        <f aca="false">G19/$G$82</f>
        <v>0.0207167102082497</v>
      </c>
      <c r="I19" s="29" t="n">
        <f aca="false">SUM($G$5:G19)/$G$82</f>
        <v>0.747810173423231</v>
      </c>
      <c r="J19" s="25" t="s">
        <v>50</v>
      </c>
      <c r="K19" s="28"/>
      <c r="L19" s="27" t="s">
        <v>115</v>
      </c>
      <c r="M19" s="26" t="s">
        <v>19</v>
      </c>
      <c r="N19" s="27" t="s">
        <v>44</v>
      </c>
      <c r="O19" s="27" t="s">
        <v>45</v>
      </c>
    </row>
    <row r="20" customFormat="false" ht="22.35" hidden="false" customHeight="false" outlineLevel="0" collapsed="false">
      <c r="A20" s="25" t="s">
        <v>7</v>
      </c>
      <c r="B20" s="25" t="n">
        <v>16</v>
      </c>
      <c r="C20" s="26" t="s">
        <v>116</v>
      </c>
      <c r="D20" s="25" t="s">
        <v>117</v>
      </c>
      <c r="E20" s="27" t="s">
        <v>118</v>
      </c>
      <c r="F20" s="25" t="s">
        <v>57</v>
      </c>
      <c r="G20" s="28" t="n">
        <v>13443.74</v>
      </c>
      <c r="H20" s="29" t="n">
        <f aca="false">G20/$G$82</f>
        <v>0.017263912331942</v>
      </c>
      <c r="I20" s="29" t="n">
        <f aca="false">SUM($G$5:G20)/$G$82</f>
        <v>0.765074085755173</v>
      </c>
      <c r="J20" s="25" t="s">
        <v>50</v>
      </c>
      <c r="K20" s="28"/>
      <c r="L20" s="27" t="s">
        <v>69</v>
      </c>
      <c r="M20" s="26" t="s">
        <v>19</v>
      </c>
      <c r="N20" s="27" t="s">
        <v>44</v>
      </c>
      <c r="O20" s="27" t="s">
        <v>45</v>
      </c>
    </row>
    <row r="21" customFormat="false" ht="15" hidden="false" customHeight="false" outlineLevel="0" collapsed="false">
      <c r="A21" s="25" t="s">
        <v>7</v>
      </c>
      <c r="B21" s="25" t="n">
        <v>17</v>
      </c>
      <c r="C21" s="26" t="s">
        <v>119</v>
      </c>
      <c r="D21" s="25" t="s">
        <v>120</v>
      </c>
      <c r="E21" s="27" t="s">
        <v>121</v>
      </c>
      <c r="F21" s="25" t="s">
        <v>62</v>
      </c>
      <c r="G21" s="28" t="n">
        <v>13400.8</v>
      </c>
      <c r="H21" s="29" t="n">
        <f aca="false">G21/$G$82</f>
        <v>0.0172087705041817</v>
      </c>
      <c r="I21" s="29" t="n">
        <f aca="false">SUM($G$5:G21)/$G$82</f>
        <v>0.782282856259355</v>
      </c>
      <c r="J21" s="25" t="s">
        <v>50</v>
      </c>
      <c r="K21" s="28"/>
      <c r="L21" s="27" t="s">
        <v>122</v>
      </c>
      <c r="M21" s="26" t="s">
        <v>14</v>
      </c>
      <c r="N21" s="27" t="s">
        <v>123</v>
      </c>
      <c r="O21" s="27" t="s">
        <v>124</v>
      </c>
    </row>
    <row r="22" customFormat="false" ht="15" hidden="false" customHeight="false" outlineLevel="0" collapsed="false">
      <c r="A22" s="25" t="s">
        <v>7</v>
      </c>
      <c r="B22" s="25" t="n">
        <v>18</v>
      </c>
      <c r="C22" s="26" t="s">
        <v>125</v>
      </c>
      <c r="D22" s="25" t="s">
        <v>126</v>
      </c>
      <c r="E22" s="27" t="s">
        <v>127</v>
      </c>
      <c r="F22" s="25" t="s">
        <v>57</v>
      </c>
      <c r="G22" s="28" t="n">
        <v>13396.96</v>
      </c>
      <c r="H22" s="29" t="n">
        <f aca="false">G22/$G$82</f>
        <v>0.0172038393300178</v>
      </c>
      <c r="I22" s="29" t="n">
        <f aca="false">SUM($G$5:G22)/$G$82</f>
        <v>0.799486695589373</v>
      </c>
      <c r="J22" s="25" t="s">
        <v>7</v>
      </c>
      <c r="K22" s="28"/>
      <c r="L22" s="27" t="s">
        <v>128</v>
      </c>
      <c r="M22" s="26" t="s">
        <v>20</v>
      </c>
      <c r="N22" s="27" t="s">
        <v>102</v>
      </c>
      <c r="O22" s="27" t="s">
        <v>129</v>
      </c>
    </row>
    <row r="23" customFormat="false" ht="22.35" hidden="false" customHeight="false" outlineLevel="0" collapsed="false">
      <c r="A23" s="25" t="s">
        <v>7</v>
      </c>
      <c r="B23" s="25" t="n">
        <v>19</v>
      </c>
      <c r="C23" s="26" t="s">
        <v>130</v>
      </c>
      <c r="D23" s="25" t="s">
        <v>131</v>
      </c>
      <c r="E23" s="27" t="s">
        <v>132</v>
      </c>
      <c r="F23" s="25" t="s">
        <v>57</v>
      </c>
      <c r="G23" s="28" t="n">
        <v>9410.62</v>
      </c>
      <c r="H23" s="29" t="n">
        <f aca="false">G23/$G$82</f>
        <v>0.0120847412006793</v>
      </c>
      <c r="I23" s="29" t="n">
        <f aca="false">SUM($G$5:G23)/$G$82</f>
        <v>0.811571436790052</v>
      </c>
      <c r="J23" s="25" t="s">
        <v>50</v>
      </c>
      <c r="K23" s="28"/>
      <c r="L23" s="27" t="s">
        <v>111</v>
      </c>
      <c r="M23" s="26" t="s">
        <v>19</v>
      </c>
      <c r="N23" s="27" t="s">
        <v>44</v>
      </c>
      <c r="O23" s="27" t="s">
        <v>45</v>
      </c>
    </row>
    <row r="24" customFormat="false" ht="22.35" hidden="false" customHeight="false" outlineLevel="0" collapsed="false">
      <c r="A24" s="32" t="s">
        <v>8</v>
      </c>
      <c r="B24" s="32" t="n">
        <v>20</v>
      </c>
      <c r="C24" s="33" t="s">
        <v>133</v>
      </c>
      <c r="D24" s="32" t="s">
        <v>134</v>
      </c>
      <c r="E24" s="34" t="s">
        <v>135</v>
      </c>
      <c r="F24" s="32" t="s">
        <v>57</v>
      </c>
      <c r="G24" s="35" t="n">
        <v>8738.44</v>
      </c>
      <c r="H24" s="36" t="n">
        <f aca="false">G24/$G$82</f>
        <v>0.0112215545732017</v>
      </c>
      <c r="I24" s="36" t="n">
        <f aca="false">SUM($G$5:G24)/$G$82</f>
        <v>0.822792991363254</v>
      </c>
      <c r="J24" s="32" t="s">
        <v>50</v>
      </c>
      <c r="K24" s="35"/>
      <c r="L24" s="34" t="s">
        <v>111</v>
      </c>
      <c r="M24" s="33" t="s">
        <v>19</v>
      </c>
      <c r="N24" s="34" t="s">
        <v>44</v>
      </c>
      <c r="O24" s="34" t="s">
        <v>45</v>
      </c>
    </row>
    <row r="25" customFormat="false" ht="22.35" hidden="false" customHeight="false" outlineLevel="0" collapsed="false">
      <c r="A25" s="32" t="s">
        <v>8</v>
      </c>
      <c r="B25" s="32" t="n">
        <v>21</v>
      </c>
      <c r="C25" s="33" t="s">
        <v>136</v>
      </c>
      <c r="D25" s="32" t="s">
        <v>137</v>
      </c>
      <c r="E25" s="34" t="s">
        <v>138</v>
      </c>
      <c r="F25" s="32" t="s">
        <v>57</v>
      </c>
      <c r="G25" s="35" t="n">
        <v>8738.44</v>
      </c>
      <c r="H25" s="36" t="n">
        <f aca="false">G25/$G$82</f>
        <v>0.0112215545732017</v>
      </c>
      <c r="I25" s="36" t="n">
        <f aca="false">SUM($G$5:G25)/$G$82</f>
        <v>0.834014545936456</v>
      </c>
      <c r="J25" s="32" t="s">
        <v>50</v>
      </c>
      <c r="K25" s="35"/>
      <c r="L25" s="34" t="s">
        <v>111</v>
      </c>
      <c r="M25" s="33" t="s">
        <v>19</v>
      </c>
      <c r="N25" s="34" t="s">
        <v>44</v>
      </c>
      <c r="O25" s="34" t="s">
        <v>45</v>
      </c>
    </row>
    <row r="26" customFormat="false" ht="22.35" hidden="false" customHeight="false" outlineLevel="0" collapsed="false">
      <c r="A26" s="32" t="s">
        <v>8</v>
      </c>
      <c r="B26" s="32" t="n">
        <v>22</v>
      </c>
      <c r="C26" s="33" t="s">
        <v>139</v>
      </c>
      <c r="D26" s="32" t="s">
        <v>140</v>
      </c>
      <c r="E26" s="34" t="s">
        <v>141</v>
      </c>
      <c r="F26" s="32" t="s">
        <v>57</v>
      </c>
      <c r="G26" s="35" t="n">
        <v>8263.86</v>
      </c>
      <c r="H26" s="36" t="n">
        <f aca="false">G26/$G$82</f>
        <v>0.0106121179495767</v>
      </c>
      <c r="I26" s="36" t="n">
        <f aca="false">SUM($G$5:G26)/$G$82</f>
        <v>0.844626663886032</v>
      </c>
      <c r="J26" s="30" t="s">
        <v>42</v>
      </c>
      <c r="K26" s="31" t="n">
        <v>-734.88</v>
      </c>
      <c r="L26" s="34" t="s">
        <v>142</v>
      </c>
      <c r="M26" s="33" t="s">
        <v>19</v>
      </c>
      <c r="N26" s="34" t="s">
        <v>44</v>
      </c>
      <c r="O26" s="34" t="s">
        <v>45</v>
      </c>
    </row>
    <row r="27" customFormat="false" ht="15" hidden="false" customHeight="false" outlineLevel="0" collapsed="false">
      <c r="A27" s="32" t="s">
        <v>8</v>
      </c>
      <c r="B27" s="32" t="n">
        <v>23</v>
      </c>
      <c r="C27" s="33" t="s">
        <v>143</v>
      </c>
      <c r="D27" s="32" t="s">
        <v>144</v>
      </c>
      <c r="E27" s="34" t="s">
        <v>145</v>
      </c>
      <c r="F27" s="32" t="s">
        <v>81</v>
      </c>
      <c r="G27" s="35" t="n">
        <v>8043.13</v>
      </c>
      <c r="H27" s="36" t="n">
        <f aca="false">G27/$G$82</f>
        <v>0.0103286653263461</v>
      </c>
      <c r="I27" s="36" t="n">
        <f aca="false">SUM($G$5:G27)/$G$82</f>
        <v>0.854955329212379</v>
      </c>
      <c r="J27" s="32" t="s">
        <v>50</v>
      </c>
      <c r="K27" s="35"/>
      <c r="L27" s="34" t="s">
        <v>146</v>
      </c>
      <c r="M27" s="33" t="s">
        <v>21</v>
      </c>
      <c r="N27" s="34" t="s">
        <v>147</v>
      </c>
      <c r="O27" s="34" t="s">
        <v>148</v>
      </c>
    </row>
    <row r="28" customFormat="false" ht="15" hidden="false" customHeight="false" outlineLevel="0" collapsed="false">
      <c r="A28" s="32" t="s">
        <v>8</v>
      </c>
      <c r="B28" s="32" t="n">
        <v>24</v>
      </c>
      <c r="C28" s="33" t="s">
        <v>149</v>
      </c>
      <c r="D28" s="32" t="s">
        <v>150</v>
      </c>
      <c r="E28" s="34" t="s">
        <v>151</v>
      </c>
      <c r="F28" s="32" t="s">
        <v>152</v>
      </c>
      <c r="G28" s="35" t="n">
        <v>7719.81</v>
      </c>
      <c r="H28" s="36" t="n">
        <f aca="false">G28/$G$82</f>
        <v>0.00991347073502233</v>
      </c>
      <c r="I28" s="36" t="n">
        <f aca="false">SUM($G$5:G28)/$G$82</f>
        <v>0.864868799947401</v>
      </c>
      <c r="J28" s="32" t="s">
        <v>50</v>
      </c>
      <c r="K28" s="35"/>
      <c r="L28" s="34" t="s">
        <v>153</v>
      </c>
      <c r="M28" s="33" t="s">
        <v>16</v>
      </c>
      <c r="N28" s="34" t="s">
        <v>154</v>
      </c>
      <c r="O28" s="34" t="s">
        <v>155</v>
      </c>
    </row>
    <row r="29" customFormat="false" ht="15" hidden="false" customHeight="false" outlineLevel="0" collapsed="false">
      <c r="A29" s="32" t="s">
        <v>8</v>
      </c>
      <c r="B29" s="32" t="n">
        <v>25</v>
      </c>
      <c r="C29" s="33" t="s">
        <v>156</v>
      </c>
      <c r="D29" s="32" t="s">
        <v>157</v>
      </c>
      <c r="E29" s="34" t="s">
        <v>158</v>
      </c>
      <c r="F29" s="32" t="s">
        <v>159</v>
      </c>
      <c r="G29" s="35" t="n">
        <v>6998.55</v>
      </c>
      <c r="H29" s="36" t="n">
        <f aca="false">G29/$G$82</f>
        <v>0.00898725753776201</v>
      </c>
      <c r="I29" s="36" t="n">
        <f aca="false">SUM($G$5:G29)/$G$82</f>
        <v>0.873856057485163</v>
      </c>
      <c r="J29" s="32" t="s">
        <v>50</v>
      </c>
      <c r="K29" s="35"/>
      <c r="L29" s="34" t="s">
        <v>160</v>
      </c>
      <c r="M29" s="33" t="s">
        <v>14</v>
      </c>
      <c r="N29" s="34" t="s">
        <v>161</v>
      </c>
      <c r="O29" s="34" t="s">
        <v>124</v>
      </c>
    </row>
    <row r="30" customFormat="false" ht="15" hidden="false" customHeight="false" outlineLevel="0" collapsed="false">
      <c r="A30" s="32" t="s">
        <v>8</v>
      </c>
      <c r="B30" s="32" t="n">
        <v>26</v>
      </c>
      <c r="C30" s="33" t="s">
        <v>162</v>
      </c>
      <c r="D30" s="32" t="s">
        <v>163</v>
      </c>
      <c r="E30" s="34" t="s">
        <v>164</v>
      </c>
      <c r="F30" s="32" t="s">
        <v>81</v>
      </c>
      <c r="G30" s="35" t="n">
        <v>6902.11</v>
      </c>
      <c r="H30" s="36" t="n">
        <f aca="false">G30/$G$82</f>
        <v>0.00886341315329069</v>
      </c>
      <c r="I30" s="36" t="n">
        <f aca="false">SUM($G$5:G30)/$G$82</f>
        <v>0.882719470638454</v>
      </c>
      <c r="J30" s="32" t="s">
        <v>7</v>
      </c>
      <c r="K30" s="35"/>
      <c r="L30" s="34" t="s">
        <v>165</v>
      </c>
      <c r="M30" s="33" t="s">
        <v>20</v>
      </c>
      <c r="N30" s="34" t="s">
        <v>166</v>
      </c>
      <c r="O30" s="34" t="s">
        <v>167</v>
      </c>
    </row>
    <row r="31" customFormat="false" ht="15" hidden="false" customHeight="false" outlineLevel="0" collapsed="false">
      <c r="A31" s="32" t="s">
        <v>8</v>
      </c>
      <c r="B31" s="32" t="n">
        <v>27</v>
      </c>
      <c r="C31" s="33" t="s">
        <v>168</v>
      </c>
      <c r="D31" s="32" t="s">
        <v>169</v>
      </c>
      <c r="E31" s="34" t="s">
        <v>170</v>
      </c>
      <c r="F31" s="32" t="s">
        <v>171</v>
      </c>
      <c r="G31" s="35" t="n">
        <v>6742.54</v>
      </c>
      <c r="H31" s="36" t="n">
        <f aca="false">G31/$G$82</f>
        <v>0.0086584997519003</v>
      </c>
      <c r="I31" s="36" t="n">
        <f aca="false">SUM($G$5:G31)/$G$82</f>
        <v>0.891377970390354</v>
      </c>
      <c r="J31" s="32" t="s">
        <v>50</v>
      </c>
      <c r="K31" s="35"/>
      <c r="L31" s="34" t="s">
        <v>172</v>
      </c>
      <c r="M31" s="33" t="s">
        <v>14</v>
      </c>
      <c r="N31" s="34" t="s">
        <v>173</v>
      </c>
      <c r="O31" s="34" t="s">
        <v>124</v>
      </c>
    </row>
    <row r="32" customFormat="false" ht="15" hidden="false" customHeight="false" outlineLevel="0" collapsed="false">
      <c r="A32" s="32" t="s">
        <v>8</v>
      </c>
      <c r="B32" s="32" t="n">
        <v>28</v>
      </c>
      <c r="C32" s="33" t="s">
        <v>174</v>
      </c>
      <c r="D32" s="32" t="s">
        <v>175</v>
      </c>
      <c r="E32" s="34" t="s">
        <v>176</v>
      </c>
      <c r="F32" s="32" t="s">
        <v>177</v>
      </c>
      <c r="G32" s="35" t="n">
        <v>6191.78</v>
      </c>
      <c r="H32" s="36" t="n">
        <f aca="false">G32/$G$82</f>
        <v>0.00795123582415844</v>
      </c>
      <c r="I32" s="36" t="n">
        <f aca="false">SUM($G$5:G32)/$G$82</f>
        <v>0.899329206214512</v>
      </c>
      <c r="J32" s="32" t="s">
        <v>50</v>
      </c>
      <c r="K32" s="35"/>
      <c r="L32" s="34" t="s">
        <v>178</v>
      </c>
      <c r="M32" s="33" t="s">
        <v>14</v>
      </c>
      <c r="N32" s="34" t="s">
        <v>179</v>
      </c>
      <c r="O32" s="34" t="s">
        <v>124</v>
      </c>
    </row>
    <row r="33" customFormat="false" ht="22.35" hidden="false" customHeight="false" outlineLevel="0" collapsed="false">
      <c r="A33" s="32" t="s">
        <v>8</v>
      </c>
      <c r="B33" s="32" t="n">
        <v>29</v>
      </c>
      <c r="C33" s="33" t="s">
        <v>180</v>
      </c>
      <c r="D33" s="32" t="s">
        <v>181</v>
      </c>
      <c r="E33" s="34" t="s">
        <v>182</v>
      </c>
      <c r="F33" s="32" t="s">
        <v>183</v>
      </c>
      <c r="G33" s="35" t="n">
        <v>4871.44</v>
      </c>
      <c r="H33" s="36" t="n">
        <f aca="false">G33/$G$82</f>
        <v>0.00625570809092674</v>
      </c>
      <c r="I33" s="36" t="n">
        <f aca="false">SUM($G$5:G33)/$G$82</f>
        <v>0.905584914305439</v>
      </c>
      <c r="J33" s="32" t="s">
        <v>50</v>
      </c>
      <c r="K33" s="35"/>
      <c r="L33" s="34" t="s">
        <v>184</v>
      </c>
      <c r="M33" s="33" t="s">
        <v>21</v>
      </c>
      <c r="N33" s="34" t="s">
        <v>185</v>
      </c>
      <c r="O33" s="34" t="s">
        <v>186</v>
      </c>
    </row>
    <row r="34" customFormat="false" ht="22.35" hidden="false" customHeight="false" outlineLevel="0" collapsed="false">
      <c r="A34" s="32" t="s">
        <v>8</v>
      </c>
      <c r="B34" s="32" t="n">
        <v>30</v>
      </c>
      <c r="C34" s="33" t="s">
        <v>187</v>
      </c>
      <c r="D34" s="32" t="s">
        <v>188</v>
      </c>
      <c r="E34" s="34" t="s">
        <v>189</v>
      </c>
      <c r="F34" s="32" t="s">
        <v>57</v>
      </c>
      <c r="G34" s="35" t="n">
        <v>4705.3</v>
      </c>
      <c r="H34" s="36" t="n">
        <f aca="false">G34/$G$82</f>
        <v>0.00604235775874025</v>
      </c>
      <c r="I34" s="36" t="n">
        <f aca="false">SUM($G$5:G34)/$G$82</f>
        <v>0.911627272064179</v>
      </c>
      <c r="J34" s="32" t="s">
        <v>50</v>
      </c>
      <c r="K34" s="35"/>
      <c r="L34" s="34" t="s">
        <v>111</v>
      </c>
      <c r="M34" s="33" t="s">
        <v>19</v>
      </c>
      <c r="N34" s="34" t="s">
        <v>44</v>
      </c>
      <c r="O34" s="34" t="s">
        <v>45</v>
      </c>
    </row>
    <row r="35" customFormat="false" ht="15" hidden="false" customHeight="false" outlineLevel="0" collapsed="false">
      <c r="A35" s="32" t="s">
        <v>8</v>
      </c>
      <c r="B35" s="32" t="n">
        <v>31</v>
      </c>
      <c r="C35" s="33" t="s">
        <v>190</v>
      </c>
      <c r="D35" s="32" t="s">
        <v>191</v>
      </c>
      <c r="E35" s="34" t="s">
        <v>192</v>
      </c>
      <c r="F35" s="32" t="s">
        <v>57</v>
      </c>
      <c r="G35" s="35" t="n">
        <v>4132.98</v>
      </c>
      <c r="H35" s="36" t="n">
        <f aca="false">G35/$G$82</f>
        <v>0.0053074073427238</v>
      </c>
      <c r="I35" s="36" t="n">
        <f aca="false">SUM($G$5:G35)/$G$82</f>
        <v>0.916934679406903</v>
      </c>
      <c r="J35" s="32" t="s">
        <v>7</v>
      </c>
      <c r="K35" s="35"/>
      <c r="L35" s="34" t="s">
        <v>193</v>
      </c>
      <c r="M35" s="33" t="s">
        <v>20</v>
      </c>
      <c r="N35" s="34" t="s">
        <v>102</v>
      </c>
      <c r="O35" s="34" t="s">
        <v>194</v>
      </c>
    </row>
    <row r="36" customFormat="false" ht="15" hidden="false" customHeight="false" outlineLevel="0" collapsed="false">
      <c r="A36" s="32" t="s">
        <v>8</v>
      </c>
      <c r="B36" s="32" t="n">
        <v>32</v>
      </c>
      <c r="C36" s="33" t="s">
        <v>195</v>
      </c>
      <c r="D36" s="32" t="s">
        <v>196</v>
      </c>
      <c r="E36" s="34" t="s">
        <v>197</v>
      </c>
      <c r="F36" s="32" t="s">
        <v>198</v>
      </c>
      <c r="G36" s="35" t="n">
        <v>4084.19</v>
      </c>
      <c r="H36" s="36" t="n">
        <f aca="false">G36/$G$82</f>
        <v>0.00524475317932318</v>
      </c>
      <c r="I36" s="36" t="n">
        <f aca="false">SUM($G$5:G36)/$G$82</f>
        <v>0.922179432586226</v>
      </c>
      <c r="J36" s="32" t="s">
        <v>50</v>
      </c>
      <c r="K36" s="35"/>
      <c r="L36" s="34" t="s">
        <v>199</v>
      </c>
      <c r="M36" s="33" t="s">
        <v>14</v>
      </c>
      <c r="N36" s="34" t="s">
        <v>200</v>
      </c>
      <c r="O36" s="34" t="s">
        <v>124</v>
      </c>
    </row>
    <row r="37" customFormat="false" ht="22.35" hidden="false" customHeight="false" outlineLevel="0" collapsed="false">
      <c r="A37" s="32" t="s">
        <v>8</v>
      </c>
      <c r="B37" s="32" t="n">
        <v>33</v>
      </c>
      <c r="C37" s="33" t="s">
        <v>201</v>
      </c>
      <c r="D37" s="32" t="s">
        <v>202</v>
      </c>
      <c r="E37" s="34" t="s">
        <v>203</v>
      </c>
      <c r="F37" s="32" t="s">
        <v>57</v>
      </c>
      <c r="G37" s="35" t="n">
        <v>3822.3</v>
      </c>
      <c r="H37" s="36" t="n">
        <f aca="false">G37/$G$82</f>
        <v>0.00490844453302294</v>
      </c>
      <c r="I37" s="36" t="n">
        <f aca="false">SUM($G$5:G37)/$G$82</f>
        <v>0.927087877119249</v>
      </c>
      <c r="J37" s="30" t="s">
        <v>42</v>
      </c>
      <c r="K37" s="31" t="n">
        <v>-169.95</v>
      </c>
      <c r="L37" s="34" t="s">
        <v>204</v>
      </c>
      <c r="M37" s="33" t="s">
        <v>19</v>
      </c>
      <c r="N37" s="34" t="s">
        <v>44</v>
      </c>
      <c r="O37" s="34" t="s">
        <v>45</v>
      </c>
    </row>
    <row r="38" customFormat="false" ht="15" hidden="false" customHeight="false" outlineLevel="0" collapsed="false">
      <c r="A38" s="32" t="s">
        <v>8</v>
      </c>
      <c r="B38" s="32" t="n">
        <v>34</v>
      </c>
      <c r="C38" s="33" t="s">
        <v>205</v>
      </c>
      <c r="D38" s="32" t="s">
        <v>206</v>
      </c>
      <c r="E38" s="34" t="s">
        <v>207</v>
      </c>
      <c r="F38" s="32" t="s">
        <v>208</v>
      </c>
      <c r="G38" s="35" t="n">
        <v>3818.65</v>
      </c>
      <c r="H38" s="36" t="n">
        <f aca="false">G38/$G$82</f>
        <v>0.00490375734924733</v>
      </c>
      <c r="I38" s="36" t="n">
        <f aca="false">SUM($G$5:G38)/$G$82</f>
        <v>0.931991634468497</v>
      </c>
      <c r="J38" s="32" t="s">
        <v>50</v>
      </c>
      <c r="K38" s="35"/>
      <c r="L38" s="34" t="s">
        <v>209</v>
      </c>
      <c r="M38" s="33" t="s">
        <v>14</v>
      </c>
      <c r="N38" s="34" t="s">
        <v>210</v>
      </c>
      <c r="O38" s="34" t="s">
        <v>124</v>
      </c>
    </row>
    <row r="39" customFormat="false" ht="15" hidden="false" customHeight="false" outlineLevel="0" collapsed="false">
      <c r="A39" s="32" t="s">
        <v>8</v>
      </c>
      <c r="B39" s="32" t="n">
        <v>35</v>
      </c>
      <c r="C39" s="33" t="s">
        <v>211</v>
      </c>
      <c r="D39" s="32" t="s">
        <v>212</v>
      </c>
      <c r="E39" s="34" t="s">
        <v>213</v>
      </c>
      <c r="F39" s="32" t="s">
        <v>214</v>
      </c>
      <c r="G39" s="35" t="n">
        <v>3658.08</v>
      </c>
      <c r="H39" s="36" t="n">
        <f aca="false">G39/$G$82</f>
        <v>0.00469755978791842</v>
      </c>
      <c r="I39" s="36" t="n">
        <f aca="false">SUM($G$5:G39)/$G$82</f>
        <v>0.936689194256415</v>
      </c>
      <c r="J39" s="32" t="s">
        <v>50</v>
      </c>
      <c r="K39" s="35"/>
      <c r="L39" s="34" t="s">
        <v>199</v>
      </c>
      <c r="M39" s="33" t="s">
        <v>14</v>
      </c>
      <c r="N39" s="34" t="s">
        <v>215</v>
      </c>
      <c r="O39" s="34" t="s">
        <v>124</v>
      </c>
    </row>
    <row r="40" customFormat="false" ht="15" hidden="false" customHeight="false" outlineLevel="0" collapsed="false">
      <c r="A40" s="32" t="s">
        <v>8</v>
      </c>
      <c r="B40" s="32" t="n">
        <v>36</v>
      </c>
      <c r="C40" s="33" t="s">
        <v>216</v>
      </c>
      <c r="D40" s="32" t="s">
        <v>217</v>
      </c>
      <c r="E40" s="34" t="s">
        <v>218</v>
      </c>
      <c r="F40" s="32" t="s">
        <v>57</v>
      </c>
      <c r="G40" s="35" t="n">
        <v>3299.14</v>
      </c>
      <c r="H40" s="36" t="n">
        <f aca="false">G40/$G$82</f>
        <v>0.00423662341958436</v>
      </c>
      <c r="I40" s="36" t="n">
        <f aca="false">SUM($G$5:G40)/$G$82</f>
        <v>0.940925817675999</v>
      </c>
      <c r="J40" s="32" t="s">
        <v>7</v>
      </c>
      <c r="K40" s="35"/>
      <c r="L40" s="34" t="s">
        <v>219</v>
      </c>
      <c r="M40" s="33" t="s">
        <v>20</v>
      </c>
      <c r="N40" s="34" t="s">
        <v>102</v>
      </c>
      <c r="O40" s="34" t="s">
        <v>220</v>
      </c>
    </row>
    <row r="41" customFormat="false" ht="15" hidden="false" customHeight="false" outlineLevel="0" collapsed="false">
      <c r="A41" s="32" t="s">
        <v>8</v>
      </c>
      <c r="B41" s="32" t="n">
        <v>37</v>
      </c>
      <c r="C41" s="33" t="s">
        <v>221</v>
      </c>
      <c r="D41" s="32" t="s">
        <v>222</v>
      </c>
      <c r="E41" s="34" t="s">
        <v>223</v>
      </c>
      <c r="F41" s="32" t="s">
        <v>57</v>
      </c>
      <c r="G41" s="35" t="n">
        <v>3144.44</v>
      </c>
      <c r="H41" s="36" t="n">
        <f aca="false">G41/$G$82</f>
        <v>0.00403796387709459</v>
      </c>
      <c r="I41" s="36" t="n">
        <f aca="false">SUM($G$5:G41)/$G$82</f>
        <v>0.944963781553094</v>
      </c>
      <c r="J41" s="32" t="s">
        <v>50</v>
      </c>
      <c r="K41" s="35"/>
      <c r="L41" s="34" t="s">
        <v>224</v>
      </c>
      <c r="M41" s="33" t="s">
        <v>14</v>
      </c>
      <c r="N41" s="34" t="s">
        <v>225</v>
      </c>
      <c r="O41" s="34" t="s">
        <v>124</v>
      </c>
    </row>
    <row r="42" customFormat="false" ht="15" hidden="false" customHeight="false" outlineLevel="0" collapsed="false">
      <c r="A42" s="32" t="s">
        <v>8</v>
      </c>
      <c r="B42" s="32" t="n">
        <v>38</v>
      </c>
      <c r="C42" s="33" t="s">
        <v>226</v>
      </c>
      <c r="D42" s="32" t="s">
        <v>227</v>
      </c>
      <c r="E42" s="34" t="s">
        <v>228</v>
      </c>
      <c r="F42" s="32" t="s">
        <v>229</v>
      </c>
      <c r="G42" s="35" t="n">
        <v>2957.38</v>
      </c>
      <c r="H42" s="36" t="n">
        <f aca="false">G42/$G$82</f>
        <v>0.00379774891899416</v>
      </c>
      <c r="I42" s="36" t="n">
        <f aca="false">SUM($G$5:G42)/$G$82</f>
        <v>0.948761530472088</v>
      </c>
      <c r="J42" s="32" t="s">
        <v>50</v>
      </c>
      <c r="K42" s="35"/>
      <c r="L42" s="34" t="s">
        <v>230</v>
      </c>
      <c r="M42" s="33" t="s">
        <v>14</v>
      </c>
      <c r="N42" s="34" t="s">
        <v>231</v>
      </c>
      <c r="O42" s="34" t="s">
        <v>124</v>
      </c>
    </row>
    <row r="43" customFormat="false" ht="22.35" hidden="false" customHeight="false" outlineLevel="0" collapsed="false">
      <c r="A43" s="32" t="s">
        <v>8</v>
      </c>
      <c r="B43" s="32" t="n">
        <v>39</v>
      </c>
      <c r="C43" s="33" t="s">
        <v>232</v>
      </c>
      <c r="D43" s="32" t="s">
        <v>233</v>
      </c>
      <c r="E43" s="34" t="s">
        <v>234</v>
      </c>
      <c r="F43" s="32" t="s">
        <v>235</v>
      </c>
      <c r="G43" s="35" t="n">
        <v>2815.68</v>
      </c>
      <c r="H43" s="36" t="n">
        <f aca="false">G43/$G$82</f>
        <v>0.00361578345570521</v>
      </c>
      <c r="I43" s="36" t="n">
        <f aca="false">SUM($G$5:G43)/$G$82</f>
        <v>0.952377313927793</v>
      </c>
      <c r="J43" s="32" t="s">
        <v>50</v>
      </c>
      <c r="K43" s="35"/>
      <c r="L43" s="34" t="s">
        <v>236</v>
      </c>
      <c r="M43" s="33" t="s">
        <v>14</v>
      </c>
      <c r="N43" s="34" t="s">
        <v>237</v>
      </c>
      <c r="O43" s="34" t="s">
        <v>238</v>
      </c>
    </row>
    <row r="44" customFormat="false" ht="15" hidden="false" customHeight="false" outlineLevel="0" collapsed="false">
      <c r="A44" s="37" t="s">
        <v>9</v>
      </c>
      <c r="B44" s="37" t="n">
        <v>40</v>
      </c>
      <c r="C44" s="38" t="s">
        <v>239</v>
      </c>
      <c r="D44" s="37" t="s">
        <v>240</v>
      </c>
      <c r="E44" s="39" t="s">
        <v>241</v>
      </c>
      <c r="F44" s="37" t="s">
        <v>242</v>
      </c>
      <c r="G44" s="40" t="n">
        <v>2742.08</v>
      </c>
      <c r="H44" s="41" t="n">
        <f aca="false">G44/$G$82</f>
        <v>0.0035212692842298</v>
      </c>
      <c r="I44" s="41" t="n">
        <f aca="false">SUM($G$5:G44)/$G$82</f>
        <v>0.955898583212023</v>
      </c>
      <c r="J44" s="37" t="s">
        <v>50</v>
      </c>
      <c r="K44" s="40"/>
      <c r="L44" s="39" t="s">
        <v>199</v>
      </c>
      <c r="M44" s="38" t="s">
        <v>14</v>
      </c>
      <c r="N44" s="39" t="s">
        <v>243</v>
      </c>
      <c r="O44" s="39" t="s">
        <v>124</v>
      </c>
    </row>
    <row r="45" customFormat="false" ht="15" hidden="false" customHeight="false" outlineLevel="0" collapsed="false">
      <c r="A45" s="37" t="s">
        <v>9</v>
      </c>
      <c r="B45" s="37" t="n">
        <v>41</v>
      </c>
      <c r="C45" s="38" t="s">
        <v>244</v>
      </c>
      <c r="D45" s="37" t="s">
        <v>245</v>
      </c>
      <c r="E45" s="39" t="s">
        <v>246</v>
      </c>
      <c r="F45" s="37" t="s">
        <v>247</v>
      </c>
      <c r="G45" s="40" t="n">
        <v>2719.5</v>
      </c>
      <c r="H45" s="41" t="n">
        <f aca="false">G45/$G$82</f>
        <v>0.00349227295281791</v>
      </c>
      <c r="I45" s="41" t="n">
        <f aca="false">SUM($G$5:G45)/$G$82</f>
        <v>0.959390856164841</v>
      </c>
      <c r="J45" s="37" t="s">
        <v>50</v>
      </c>
      <c r="K45" s="40"/>
      <c r="L45" s="39" t="s">
        <v>248</v>
      </c>
      <c r="M45" s="38" t="s">
        <v>14</v>
      </c>
      <c r="N45" s="39" t="s">
        <v>249</v>
      </c>
      <c r="O45" s="39" t="s">
        <v>124</v>
      </c>
    </row>
    <row r="46" customFormat="false" ht="15" hidden="false" customHeight="false" outlineLevel="0" collapsed="false">
      <c r="A46" s="37" t="s">
        <v>9</v>
      </c>
      <c r="B46" s="37" t="n">
        <v>42</v>
      </c>
      <c r="C46" s="38" t="s">
        <v>250</v>
      </c>
      <c r="D46" s="37" t="s">
        <v>251</v>
      </c>
      <c r="E46" s="39" t="s">
        <v>252</v>
      </c>
      <c r="F46" s="37" t="s">
        <v>62</v>
      </c>
      <c r="G46" s="40" t="n">
        <v>2402.4</v>
      </c>
      <c r="H46" s="41" t="n">
        <f aca="false">G46/$G$82</f>
        <v>0.00308506583631173</v>
      </c>
      <c r="I46" s="41" t="n">
        <f aca="false">SUM($G$5:G46)/$G$82</f>
        <v>0.962475922001153</v>
      </c>
      <c r="J46" s="37" t="s">
        <v>50</v>
      </c>
      <c r="K46" s="40"/>
      <c r="L46" s="39" t="s">
        <v>253</v>
      </c>
      <c r="M46" s="38" t="s">
        <v>14</v>
      </c>
      <c r="N46" s="39" t="s">
        <v>254</v>
      </c>
      <c r="O46" s="39" t="s">
        <v>124</v>
      </c>
    </row>
    <row r="47" customFormat="false" ht="15" hidden="false" customHeight="false" outlineLevel="0" collapsed="false">
      <c r="A47" s="37" t="s">
        <v>9</v>
      </c>
      <c r="B47" s="37" t="n">
        <v>43</v>
      </c>
      <c r="C47" s="38" t="s">
        <v>255</v>
      </c>
      <c r="D47" s="37" t="s">
        <v>256</v>
      </c>
      <c r="E47" s="39" t="s">
        <v>257</v>
      </c>
      <c r="F47" s="37" t="s">
        <v>62</v>
      </c>
      <c r="G47" s="40" t="n">
        <v>2377.2</v>
      </c>
      <c r="H47" s="41" t="n">
        <f aca="false">G47/$G$82</f>
        <v>0.00305270500586091</v>
      </c>
      <c r="I47" s="41" t="n">
        <f aca="false">SUM($G$5:G47)/$G$82</f>
        <v>0.965528627007014</v>
      </c>
      <c r="J47" s="37" t="s">
        <v>50</v>
      </c>
      <c r="K47" s="40"/>
      <c r="L47" s="39" t="s">
        <v>253</v>
      </c>
      <c r="M47" s="38" t="s">
        <v>14</v>
      </c>
      <c r="N47" s="39" t="s">
        <v>258</v>
      </c>
      <c r="O47" s="39" t="s">
        <v>124</v>
      </c>
    </row>
    <row r="48" customFormat="false" ht="15" hidden="false" customHeight="false" outlineLevel="0" collapsed="false">
      <c r="A48" s="37" t="s">
        <v>9</v>
      </c>
      <c r="B48" s="37" t="n">
        <v>44</v>
      </c>
      <c r="C48" s="38" t="s">
        <v>259</v>
      </c>
      <c r="D48" s="37" t="s">
        <v>260</v>
      </c>
      <c r="E48" s="39" t="s">
        <v>261</v>
      </c>
      <c r="F48" s="37" t="s">
        <v>57</v>
      </c>
      <c r="G48" s="40" t="n">
        <v>2248.88</v>
      </c>
      <c r="H48" s="41" t="n">
        <f aca="false">G48/$G$82</f>
        <v>0.00288792160254942</v>
      </c>
      <c r="I48" s="41" t="n">
        <f aca="false">SUM($G$5:G48)/$G$82</f>
        <v>0.968416548609563</v>
      </c>
      <c r="J48" s="37" t="s">
        <v>7</v>
      </c>
      <c r="K48" s="40"/>
      <c r="L48" s="39" t="s">
        <v>262</v>
      </c>
      <c r="M48" s="38" t="s">
        <v>20</v>
      </c>
      <c r="N48" s="39" t="s">
        <v>102</v>
      </c>
      <c r="O48" s="39" t="s">
        <v>263</v>
      </c>
    </row>
    <row r="49" customFormat="false" ht="15" hidden="false" customHeight="false" outlineLevel="0" collapsed="false">
      <c r="A49" s="37" t="s">
        <v>9</v>
      </c>
      <c r="B49" s="37" t="n">
        <v>45</v>
      </c>
      <c r="C49" s="38" t="s">
        <v>264</v>
      </c>
      <c r="D49" s="37" t="s">
        <v>265</v>
      </c>
      <c r="E49" s="39" t="s">
        <v>266</v>
      </c>
      <c r="F49" s="37" t="s">
        <v>57</v>
      </c>
      <c r="G49" s="40" t="n">
        <v>2188.26</v>
      </c>
      <c r="H49" s="41" t="n">
        <f aca="false">G49/$G$82</f>
        <v>0.00281007582707605</v>
      </c>
      <c r="I49" s="41" t="n">
        <f aca="false">SUM($G$5:G49)/$G$82</f>
        <v>0.971226624436639</v>
      </c>
      <c r="J49" s="37" t="s">
        <v>50</v>
      </c>
      <c r="K49" s="40"/>
      <c r="L49" s="39" t="s">
        <v>267</v>
      </c>
      <c r="M49" s="38" t="s">
        <v>14</v>
      </c>
      <c r="N49" s="39" t="s">
        <v>268</v>
      </c>
      <c r="O49" s="39" t="s">
        <v>124</v>
      </c>
    </row>
    <row r="50" customFormat="false" ht="15" hidden="false" customHeight="false" outlineLevel="0" collapsed="false">
      <c r="A50" s="37" t="s">
        <v>9</v>
      </c>
      <c r="B50" s="37" t="n">
        <v>46</v>
      </c>
      <c r="C50" s="38" t="s">
        <v>269</v>
      </c>
      <c r="D50" s="37" t="s">
        <v>270</v>
      </c>
      <c r="E50" s="39" t="s">
        <v>271</v>
      </c>
      <c r="F50" s="37" t="s">
        <v>272</v>
      </c>
      <c r="G50" s="40" t="n">
        <v>2034.22</v>
      </c>
      <c r="H50" s="41" t="n">
        <f aca="false">G50/$G$82</f>
        <v>0.00261226383014571</v>
      </c>
      <c r="I50" s="41" t="n">
        <f aca="false">SUM($G$5:G50)/$G$82</f>
        <v>0.973838888266785</v>
      </c>
      <c r="J50" s="37" t="s">
        <v>50</v>
      </c>
      <c r="K50" s="40"/>
      <c r="L50" s="39" t="s">
        <v>199</v>
      </c>
      <c r="M50" s="38" t="s">
        <v>14</v>
      </c>
      <c r="N50" s="39" t="s">
        <v>273</v>
      </c>
      <c r="O50" s="39" t="s">
        <v>124</v>
      </c>
    </row>
    <row r="51" customFormat="false" ht="15" hidden="false" customHeight="false" outlineLevel="0" collapsed="false">
      <c r="A51" s="37" t="s">
        <v>9</v>
      </c>
      <c r="B51" s="37" t="n">
        <v>47</v>
      </c>
      <c r="C51" s="38" t="s">
        <v>274</v>
      </c>
      <c r="D51" s="37" t="s">
        <v>275</v>
      </c>
      <c r="E51" s="39" t="s">
        <v>276</v>
      </c>
      <c r="F51" s="37" t="s">
        <v>277</v>
      </c>
      <c r="G51" s="40" t="n">
        <v>1933.4</v>
      </c>
      <c r="H51" s="41" t="n">
        <f aca="false">G51/$G$82</f>
        <v>0.00248279482514365</v>
      </c>
      <c r="I51" s="41" t="n">
        <f aca="false">SUM($G$5:G51)/$G$82</f>
        <v>0.976321683091928</v>
      </c>
      <c r="J51" s="37" t="s">
        <v>50</v>
      </c>
      <c r="K51" s="40"/>
      <c r="L51" s="39" t="s">
        <v>278</v>
      </c>
      <c r="M51" s="38" t="s">
        <v>14</v>
      </c>
      <c r="N51" s="39" t="s">
        <v>279</v>
      </c>
      <c r="O51" s="39" t="s">
        <v>124</v>
      </c>
    </row>
    <row r="52" customFormat="false" ht="22.35" hidden="false" customHeight="false" outlineLevel="0" collapsed="false">
      <c r="A52" s="37" t="s">
        <v>9</v>
      </c>
      <c r="B52" s="37" t="n">
        <v>48</v>
      </c>
      <c r="C52" s="38" t="s">
        <v>280</v>
      </c>
      <c r="D52" s="37" t="s">
        <v>281</v>
      </c>
      <c r="E52" s="39" t="s">
        <v>282</v>
      </c>
      <c r="F52" s="37" t="s">
        <v>81</v>
      </c>
      <c r="G52" s="40" t="n">
        <v>1911.15</v>
      </c>
      <c r="H52" s="41" t="n">
        <f aca="false">G52/$G$82</f>
        <v>0.00245422226651147</v>
      </c>
      <c r="I52" s="41" t="n">
        <f aca="false">SUM($G$5:G52)/$G$82</f>
        <v>0.97877590535844</v>
      </c>
      <c r="J52" s="30" t="s">
        <v>42</v>
      </c>
      <c r="K52" s="31" t="n">
        <v>-169.95</v>
      </c>
      <c r="L52" s="39" t="s">
        <v>283</v>
      </c>
      <c r="M52" s="38" t="s">
        <v>19</v>
      </c>
      <c r="N52" s="39" t="s">
        <v>44</v>
      </c>
      <c r="O52" s="39" t="s">
        <v>45</v>
      </c>
    </row>
    <row r="53" customFormat="false" ht="22.35" hidden="false" customHeight="false" outlineLevel="0" collapsed="false">
      <c r="A53" s="37" t="s">
        <v>9</v>
      </c>
      <c r="B53" s="37" t="n">
        <v>49</v>
      </c>
      <c r="C53" s="38" t="s">
        <v>284</v>
      </c>
      <c r="D53" s="37" t="s">
        <v>285</v>
      </c>
      <c r="E53" s="39" t="s">
        <v>286</v>
      </c>
      <c r="F53" s="37" t="s">
        <v>81</v>
      </c>
      <c r="G53" s="40" t="n">
        <v>1911.15</v>
      </c>
      <c r="H53" s="41" t="n">
        <f aca="false">G53/$G$82</f>
        <v>0.00245422226651147</v>
      </c>
      <c r="I53" s="41" t="n">
        <f aca="false">SUM($G$5:G53)/$G$82</f>
        <v>0.981230127624951</v>
      </c>
      <c r="J53" s="30" t="s">
        <v>42</v>
      </c>
      <c r="K53" s="31" t="n">
        <v>-169.95</v>
      </c>
      <c r="L53" s="39" t="s">
        <v>283</v>
      </c>
      <c r="M53" s="38" t="s">
        <v>19</v>
      </c>
      <c r="N53" s="39" t="s">
        <v>44</v>
      </c>
      <c r="O53" s="39" t="s">
        <v>45</v>
      </c>
    </row>
    <row r="54" customFormat="false" ht="15" hidden="false" customHeight="false" outlineLevel="0" collapsed="false">
      <c r="A54" s="37" t="s">
        <v>9</v>
      </c>
      <c r="B54" s="37" t="n">
        <v>50</v>
      </c>
      <c r="C54" s="38" t="s">
        <v>287</v>
      </c>
      <c r="D54" s="37" t="s">
        <v>288</v>
      </c>
      <c r="E54" s="39" t="s">
        <v>289</v>
      </c>
      <c r="F54" s="37" t="s">
        <v>57</v>
      </c>
      <c r="G54" s="40" t="n">
        <v>1483.34</v>
      </c>
      <c r="H54" s="41" t="n">
        <f aca="false">G54/$G$82</f>
        <v>0.00190484580321122</v>
      </c>
      <c r="I54" s="41" t="n">
        <f aca="false">SUM($G$5:G54)/$G$82</f>
        <v>0.983134973428163</v>
      </c>
      <c r="J54" s="37" t="s">
        <v>50</v>
      </c>
      <c r="K54" s="40"/>
      <c r="L54" s="39" t="s">
        <v>290</v>
      </c>
      <c r="M54" s="38" t="s">
        <v>14</v>
      </c>
      <c r="N54" s="39" t="s">
        <v>291</v>
      </c>
      <c r="O54" s="39" t="s">
        <v>124</v>
      </c>
    </row>
    <row r="55" customFormat="false" ht="15" hidden="false" customHeight="false" outlineLevel="0" collapsed="false">
      <c r="A55" s="37" t="s">
        <v>9</v>
      </c>
      <c r="B55" s="37" t="n">
        <v>51</v>
      </c>
      <c r="C55" s="38" t="s">
        <v>292</v>
      </c>
      <c r="D55" s="37" t="s">
        <v>293</v>
      </c>
      <c r="E55" s="39" t="s">
        <v>294</v>
      </c>
      <c r="F55" s="37" t="s">
        <v>57</v>
      </c>
      <c r="G55" s="40" t="n">
        <v>1373.52</v>
      </c>
      <c r="H55" s="41" t="n">
        <f aca="false">G55/$G$82</f>
        <v>0.00176381935876244</v>
      </c>
      <c r="I55" s="41" t="n">
        <f aca="false">SUM($G$5:G55)/$G$82</f>
        <v>0.984898792786925</v>
      </c>
      <c r="J55" s="37" t="s">
        <v>50</v>
      </c>
      <c r="K55" s="40"/>
      <c r="L55" s="39" t="s">
        <v>295</v>
      </c>
      <c r="M55" s="38" t="s">
        <v>16</v>
      </c>
      <c r="N55" s="39" t="s">
        <v>296</v>
      </c>
      <c r="O55" s="39" t="s">
        <v>297</v>
      </c>
    </row>
    <row r="56" customFormat="false" ht="15" hidden="false" customHeight="false" outlineLevel="0" collapsed="false">
      <c r="A56" s="37" t="s">
        <v>9</v>
      </c>
      <c r="B56" s="37" t="n">
        <v>52</v>
      </c>
      <c r="C56" s="38" t="s">
        <v>298</v>
      </c>
      <c r="D56" s="37" t="s">
        <v>299</v>
      </c>
      <c r="E56" s="39" t="s">
        <v>300</v>
      </c>
      <c r="F56" s="37" t="s">
        <v>301</v>
      </c>
      <c r="G56" s="40" t="n">
        <v>1340.4</v>
      </c>
      <c r="H56" s="41" t="n">
        <f aca="false">G56/$G$82</f>
        <v>0.0017212879815985</v>
      </c>
      <c r="I56" s="41" t="n">
        <f aca="false">SUM($G$5:G56)/$G$82</f>
        <v>0.986620080768524</v>
      </c>
      <c r="J56" s="37" t="s">
        <v>50</v>
      </c>
      <c r="K56" s="40"/>
      <c r="L56" s="39" t="s">
        <v>199</v>
      </c>
      <c r="M56" s="38" t="s">
        <v>14</v>
      </c>
      <c r="N56" s="39" t="s">
        <v>302</v>
      </c>
      <c r="O56" s="39" t="s">
        <v>124</v>
      </c>
    </row>
    <row r="57" customFormat="false" ht="15" hidden="false" customHeight="false" outlineLevel="0" collapsed="false">
      <c r="A57" s="37" t="s">
        <v>9</v>
      </c>
      <c r="B57" s="37" t="n">
        <v>53</v>
      </c>
      <c r="C57" s="38" t="s">
        <v>303</v>
      </c>
      <c r="D57" s="37" t="s">
        <v>304</v>
      </c>
      <c r="E57" s="39" t="s">
        <v>305</v>
      </c>
      <c r="F57" s="37" t="s">
        <v>62</v>
      </c>
      <c r="G57" s="40" t="n">
        <v>1232</v>
      </c>
      <c r="H57" s="41" t="n">
        <f aca="false">G57/$G$82</f>
        <v>0.00158208504426242</v>
      </c>
      <c r="I57" s="41" t="n">
        <f aca="false">SUM($G$5:G57)/$G$82</f>
        <v>0.988202165812786</v>
      </c>
      <c r="J57" s="37" t="s">
        <v>50</v>
      </c>
      <c r="K57" s="40"/>
      <c r="L57" s="39" t="s">
        <v>253</v>
      </c>
      <c r="M57" s="38" t="s">
        <v>14</v>
      </c>
      <c r="N57" s="39" t="s">
        <v>306</v>
      </c>
      <c r="O57" s="39" t="s">
        <v>124</v>
      </c>
    </row>
    <row r="58" customFormat="false" ht="15" hidden="false" customHeight="false" outlineLevel="0" collapsed="false">
      <c r="A58" s="37" t="s">
        <v>9</v>
      </c>
      <c r="B58" s="37" t="n">
        <v>54</v>
      </c>
      <c r="C58" s="38" t="s">
        <v>307</v>
      </c>
      <c r="D58" s="37" t="s">
        <v>308</v>
      </c>
      <c r="E58" s="39" t="s">
        <v>309</v>
      </c>
      <c r="F58" s="37" t="s">
        <v>81</v>
      </c>
      <c r="G58" s="40" t="n">
        <v>1011.43</v>
      </c>
      <c r="H58" s="41" t="n">
        <f aca="false">G58/$G$82</f>
        <v>0.00129883788662203</v>
      </c>
      <c r="I58" s="41" t="n">
        <f aca="false">SUM($G$5:G58)/$G$82</f>
        <v>0.989501003699408</v>
      </c>
      <c r="J58" s="37" t="s">
        <v>7</v>
      </c>
      <c r="K58" s="40"/>
      <c r="L58" s="39" t="s">
        <v>310</v>
      </c>
      <c r="M58" s="38" t="s">
        <v>20</v>
      </c>
      <c r="N58" s="39" t="s">
        <v>311</v>
      </c>
      <c r="O58" s="39" t="s">
        <v>312</v>
      </c>
    </row>
    <row r="59" customFormat="false" ht="15" hidden="false" customHeight="false" outlineLevel="0" collapsed="false">
      <c r="A59" s="37" t="s">
        <v>9</v>
      </c>
      <c r="B59" s="37" t="n">
        <v>55</v>
      </c>
      <c r="C59" s="38" t="s">
        <v>313</v>
      </c>
      <c r="D59" s="37" t="s">
        <v>314</v>
      </c>
      <c r="E59" s="39" t="s">
        <v>315</v>
      </c>
      <c r="F59" s="37" t="s">
        <v>152</v>
      </c>
      <c r="G59" s="40" t="n">
        <v>986.01</v>
      </c>
      <c r="H59" s="41" t="n">
        <f aca="false">G59/$G$82</f>
        <v>0.00126619454098474</v>
      </c>
      <c r="I59" s="41" t="n">
        <f aca="false">SUM($G$5:G59)/$G$82</f>
        <v>0.990767198240393</v>
      </c>
      <c r="J59" s="37" t="s">
        <v>50</v>
      </c>
      <c r="K59" s="40"/>
      <c r="L59" s="39" t="s">
        <v>199</v>
      </c>
      <c r="M59" s="38" t="s">
        <v>14</v>
      </c>
      <c r="N59" s="39" t="s">
        <v>316</v>
      </c>
      <c r="O59" s="39" t="s">
        <v>124</v>
      </c>
    </row>
    <row r="60" customFormat="false" ht="15" hidden="false" customHeight="false" outlineLevel="0" collapsed="false">
      <c r="A60" s="37" t="s">
        <v>9</v>
      </c>
      <c r="B60" s="37" t="n">
        <v>56</v>
      </c>
      <c r="C60" s="38" t="s">
        <v>317</v>
      </c>
      <c r="D60" s="37" t="s">
        <v>318</v>
      </c>
      <c r="E60" s="39" t="s">
        <v>319</v>
      </c>
      <c r="F60" s="37" t="s">
        <v>320</v>
      </c>
      <c r="G60" s="40" t="n">
        <v>948.42</v>
      </c>
      <c r="H60" s="41" t="n">
        <f aca="false">G60/$G$82</f>
        <v>0.00121792296889559</v>
      </c>
      <c r="I60" s="41" t="n">
        <f aca="false">SUM($G$5:G60)/$G$82</f>
        <v>0.991985121209288</v>
      </c>
      <c r="J60" s="37" t="s">
        <v>50</v>
      </c>
      <c r="K60" s="40"/>
      <c r="L60" s="39" t="s">
        <v>321</v>
      </c>
      <c r="M60" s="38" t="s">
        <v>14</v>
      </c>
      <c r="N60" s="39" t="s">
        <v>322</v>
      </c>
      <c r="O60" s="39" t="s">
        <v>124</v>
      </c>
    </row>
    <row r="61" customFormat="false" ht="15" hidden="false" customHeight="false" outlineLevel="0" collapsed="false">
      <c r="A61" s="37" t="s">
        <v>9</v>
      </c>
      <c r="B61" s="37" t="n">
        <v>57</v>
      </c>
      <c r="C61" s="38" t="s">
        <v>323</v>
      </c>
      <c r="D61" s="37" t="s">
        <v>324</v>
      </c>
      <c r="E61" s="39" t="s">
        <v>325</v>
      </c>
      <c r="F61" s="37" t="s">
        <v>301</v>
      </c>
      <c r="G61" s="40" t="n">
        <v>947.92</v>
      </c>
      <c r="H61" s="41" t="n">
        <f aca="false">G61/$G$82</f>
        <v>0.00121728088892633</v>
      </c>
      <c r="I61" s="41" t="n">
        <f aca="false">SUM($G$5:G61)/$G$82</f>
        <v>0.993202402098215</v>
      </c>
      <c r="J61" s="37" t="s">
        <v>50</v>
      </c>
      <c r="K61" s="40"/>
      <c r="L61" s="39" t="s">
        <v>326</v>
      </c>
      <c r="M61" s="38" t="s">
        <v>21</v>
      </c>
      <c r="N61" s="39" t="s">
        <v>327</v>
      </c>
      <c r="O61" s="39" t="s">
        <v>328</v>
      </c>
    </row>
    <row r="62" customFormat="false" ht="15" hidden="false" customHeight="false" outlineLevel="0" collapsed="false">
      <c r="A62" s="37" t="s">
        <v>9</v>
      </c>
      <c r="B62" s="37" t="n">
        <v>58</v>
      </c>
      <c r="C62" s="38" t="s">
        <v>329</v>
      </c>
      <c r="D62" s="37" t="s">
        <v>330</v>
      </c>
      <c r="E62" s="39" t="s">
        <v>331</v>
      </c>
      <c r="F62" s="37" t="s">
        <v>152</v>
      </c>
      <c r="G62" s="40" t="n">
        <v>802.89</v>
      </c>
      <c r="H62" s="41" t="n">
        <f aca="false">G62/$G$82</f>
        <v>0.00103103917304209</v>
      </c>
      <c r="I62" s="41" t="n">
        <f aca="false">SUM($G$5:G62)/$G$82</f>
        <v>0.994233441271257</v>
      </c>
      <c r="J62" s="30" t="s">
        <v>42</v>
      </c>
      <c r="K62" s="31" t="n">
        <v>-71.4</v>
      </c>
      <c r="L62" s="39" t="s">
        <v>332</v>
      </c>
      <c r="M62" s="38" t="s">
        <v>20</v>
      </c>
      <c r="N62" s="39" t="s">
        <v>64</v>
      </c>
      <c r="O62" s="39" t="s">
        <v>333</v>
      </c>
    </row>
    <row r="63" customFormat="false" ht="15" hidden="false" customHeight="false" outlineLevel="0" collapsed="false">
      <c r="A63" s="37" t="s">
        <v>9</v>
      </c>
      <c r="B63" s="37" t="n">
        <v>59</v>
      </c>
      <c r="C63" s="38" t="s">
        <v>334</v>
      </c>
      <c r="D63" s="37" t="s">
        <v>335</v>
      </c>
      <c r="E63" s="39" t="s">
        <v>336</v>
      </c>
      <c r="F63" s="37" t="s">
        <v>301</v>
      </c>
      <c r="G63" s="40" t="n">
        <v>686.04</v>
      </c>
      <c r="H63" s="41" t="n">
        <f aca="false">G63/$G$82</f>
        <v>0.000880985084225482</v>
      </c>
      <c r="I63" s="41" t="n">
        <f aca="false">SUM($G$5:G63)/$G$82</f>
        <v>0.995114426355482</v>
      </c>
      <c r="J63" s="37" t="s">
        <v>50</v>
      </c>
      <c r="K63" s="40"/>
      <c r="L63" s="39" t="s">
        <v>321</v>
      </c>
      <c r="M63" s="38" t="s">
        <v>14</v>
      </c>
      <c r="N63" s="39" t="s">
        <v>337</v>
      </c>
      <c r="O63" s="39" t="s">
        <v>124</v>
      </c>
    </row>
    <row r="64" customFormat="false" ht="15" hidden="false" customHeight="false" outlineLevel="0" collapsed="false">
      <c r="A64" s="37" t="s">
        <v>9</v>
      </c>
      <c r="B64" s="37" t="n">
        <v>60</v>
      </c>
      <c r="C64" s="38" t="s">
        <v>338</v>
      </c>
      <c r="D64" s="37" t="s">
        <v>339</v>
      </c>
      <c r="E64" s="39" t="s">
        <v>340</v>
      </c>
      <c r="F64" s="37" t="s">
        <v>171</v>
      </c>
      <c r="G64" s="40" t="n">
        <v>584.8</v>
      </c>
      <c r="H64" s="41" t="n">
        <f aca="false">G64/$G$82</f>
        <v>0.000750976732049242</v>
      </c>
      <c r="I64" s="41" t="n">
        <f aca="false">SUM($G$5:G64)/$G$82</f>
        <v>0.995865403087532</v>
      </c>
      <c r="J64" s="37" t="s">
        <v>50</v>
      </c>
      <c r="K64" s="40"/>
      <c r="L64" s="39" t="s">
        <v>199</v>
      </c>
      <c r="M64" s="38" t="s">
        <v>14</v>
      </c>
      <c r="N64" s="39" t="s">
        <v>341</v>
      </c>
      <c r="O64" s="39" t="s">
        <v>124</v>
      </c>
    </row>
    <row r="65" customFormat="false" ht="15" hidden="false" customHeight="false" outlineLevel="0" collapsed="false">
      <c r="A65" s="37" t="s">
        <v>9</v>
      </c>
      <c r="B65" s="37" t="n">
        <v>61</v>
      </c>
      <c r="C65" s="38" t="s">
        <v>342</v>
      </c>
      <c r="D65" s="37" t="s">
        <v>343</v>
      </c>
      <c r="E65" s="39" t="s">
        <v>344</v>
      </c>
      <c r="F65" s="37" t="s">
        <v>345</v>
      </c>
      <c r="G65" s="40" t="n">
        <v>503.86</v>
      </c>
      <c r="H65" s="41" t="n">
        <f aca="false">G65/$G$82</f>
        <v>0.000647036826625053</v>
      </c>
      <c r="I65" s="41" t="n">
        <f aca="false">SUM($G$5:G65)/$G$82</f>
        <v>0.996512439914157</v>
      </c>
      <c r="J65" s="37" t="s">
        <v>50</v>
      </c>
      <c r="K65" s="40"/>
      <c r="L65" s="39" t="s">
        <v>199</v>
      </c>
      <c r="M65" s="38" t="s">
        <v>14</v>
      </c>
      <c r="N65" s="39" t="s">
        <v>346</v>
      </c>
      <c r="O65" s="39" t="s">
        <v>124</v>
      </c>
    </row>
    <row r="66" customFormat="false" ht="15" hidden="false" customHeight="false" outlineLevel="0" collapsed="false">
      <c r="A66" s="37" t="s">
        <v>9</v>
      </c>
      <c r="B66" s="37" t="n">
        <v>62</v>
      </c>
      <c r="C66" s="38" t="s">
        <v>347</v>
      </c>
      <c r="D66" s="37" t="s">
        <v>348</v>
      </c>
      <c r="E66" s="39" t="s">
        <v>349</v>
      </c>
      <c r="F66" s="37" t="s">
        <v>301</v>
      </c>
      <c r="G66" s="40" t="n">
        <v>441.64</v>
      </c>
      <c r="H66" s="41" t="n">
        <f aca="false">G66/$G$82</f>
        <v>0.000567136395250047</v>
      </c>
      <c r="I66" s="41" t="n">
        <f aca="false">SUM($G$5:G66)/$G$82</f>
        <v>0.997079576309407</v>
      </c>
      <c r="J66" s="37" t="s">
        <v>50</v>
      </c>
      <c r="K66" s="40"/>
      <c r="L66" s="39" t="s">
        <v>321</v>
      </c>
      <c r="M66" s="38" t="s">
        <v>14</v>
      </c>
      <c r="N66" s="39" t="s">
        <v>350</v>
      </c>
      <c r="O66" s="39" t="s">
        <v>124</v>
      </c>
    </row>
    <row r="67" customFormat="false" ht="15" hidden="false" customHeight="false" outlineLevel="0" collapsed="false">
      <c r="A67" s="37" t="s">
        <v>9</v>
      </c>
      <c r="B67" s="37" t="n">
        <v>63</v>
      </c>
      <c r="C67" s="38" t="s">
        <v>351</v>
      </c>
      <c r="D67" s="37" t="s">
        <v>352</v>
      </c>
      <c r="E67" s="39" t="s">
        <v>353</v>
      </c>
      <c r="F67" s="37" t="s">
        <v>57</v>
      </c>
      <c r="G67" s="40" t="n">
        <v>390.56</v>
      </c>
      <c r="H67" s="41" t="n">
        <f aca="false">G67/$G$82</f>
        <v>0.000501541505590205</v>
      </c>
      <c r="I67" s="41" t="n">
        <f aca="false">SUM($G$5:G67)/$G$82</f>
        <v>0.997581117814997</v>
      </c>
      <c r="J67" s="37" t="s">
        <v>7</v>
      </c>
      <c r="K67" s="40"/>
      <c r="L67" s="39" t="s">
        <v>354</v>
      </c>
      <c r="M67" s="38" t="s">
        <v>20</v>
      </c>
      <c r="N67" s="39" t="s">
        <v>102</v>
      </c>
      <c r="O67" s="39" t="s">
        <v>355</v>
      </c>
    </row>
    <row r="68" customFormat="false" ht="15" hidden="false" customHeight="false" outlineLevel="0" collapsed="false">
      <c r="A68" s="37" t="s">
        <v>9</v>
      </c>
      <c r="B68" s="37" t="n">
        <v>64</v>
      </c>
      <c r="C68" s="38" t="s">
        <v>356</v>
      </c>
      <c r="D68" s="37" t="s">
        <v>357</v>
      </c>
      <c r="E68" s="39" t="s">
        <v>358</v>
      </c>
      <c r="F68" s="37" t="s">
        <v>57</v>
      </c>
      <c r="G68" s="40" t="n">
        <v>305.6</v>
      </c>
      <c r="H68" s="41" t="n">
        <f aca="false">G68/$G$82</f>
        <v>0.000392439277213147</v>
      </c>
      <c r="I68" s="41" t="n">
        <f aca="false">SUM($G$5:G68)/$G$82</f>
        <v>0.99797355709221</v>
      </c>
      <c r="J68" s="37" t="s">
        <v>50</v>
      </c>
      <c r="K68" s="40"/>
      <c r="L68" s="39" t="s">
        <v>199</v>
      </c>
      <c r="M68" s="38" t="s">
        <v>14</v>
      </c>
      <c r="N68" s="39" t="s">
        <v>359</v>
      </c>
      <c r="O68" s="39" t="s">
        <v>124</v>
      </c>
    </row>
    <row r="69" customFormat="false" ht="15" hidden="false" customHeight="false" outlineLevel="0" collapsed="false">
      <c r="A69" s="37" t="s">
        <v>9</v>
      </c>
      <c r="B69" s="37" t="n">
        <v>65</v>
      </c>
      <c r="C69" s="38" t="s">
        <v>360</v>
      </c>
      <c r="D69" s="37" t="s">
        <v>361</v>
      </c>
      <c r="E69" s="39" t="s">
        <v>362</v>
      </c>
      <c r="F69" s="37" t="s">
        <v>320</v>
      </c>
      <c r="G69" s="40" t="n">
        <v>261.9</v>
      </c>
      <c r="H69" s="41" t="n">
        <f aca="false">G69/$G$82</f>
        <v>0.000336321487899618</v>
      </c>
      <c r="I69" s="41" t="n">
        <f aca="false">SUM($G$5:G69)/$G$82</f>
        <v>0.998309878580109</v>
      </c>
      <c r="J69" s="37" t="s">
        <v>50</v>
      </c>
      <c r="K69" s="40"/>
      <c r="L69" s="39" t="s">
        <v>199</v>
      </c>
      <c r="M69" s="38" t="s">
        <v>14</v>
      </c>
      <c r="N69" s="39" t="s">
        <v>363</v>
      </c>
      <c r="O69" s="39" t="s">
        <v>124</v>
      </c>
    </row>
    <row r="70" customFormat="false" ht="22.35" hidden="false" customHeight="false" outlineLevel="0" collapsed="false">
      <c r="A70" s="37" t="s">
        <v>9</v>
      </c>
      <c r="B70" s="37" t="n">
        <v>66</v>
      </c>
      <c r="C70" s="38" t="s">
        <v>364</v>
      </c>
      <c r="D70" s="37" t="s">
        <v>365</v>
      </c>
      <c r="E70" s="39" t="s">
        <v>366</v>
      </c>
      <c r="F70" s="37" t="s">
        <v>57</v>
      </c>
      <c r="G70" s="40" t="n">
        <v>258.38</v>
      </c>
      <c r="H70" s="41" t="n">
        <f aca="false">G70/$G$82</f>
        <v>0.000331801244916011</v>
      </c>
      <c r="I70" s="41" t="n">
        <f aca="false">SUM($G$5:G70)/$G$82</f>
        <v>0.998641679825026</v>
      </c>
      <c r="J70" s="37" t="s">
        <v>50</v>
      </c>
      <c r="K70" s="40"/>
      <c r="L70" s="39" t="s">
        <v>367</v>
      </c>
      <c r="M70" s="38" t="s">
        <v>21</v>
      </c>
      <c r="N70" s="39" t="s">
        <v>368</v>
      </c>
      <c r="O70" s="39" t="s">
        <v>369</v>
      </c>
    </row>
    <row r="71" customFormat="false" ht="15" hidden="false" customHeight="false" outlineLevel="0" collapsed="false">
      <c r="A71" s="37" t="s">
        <v>9</v>
      </c>
      <c r="B71" s="37" t="n">
        <v>67</v>
      </c>
      <c r="C71" s="38" t="s">
        <v>370</v>
      </c>
      <c r="D71" s="37" t="s">
        <v>371</v>
      </c>
      <c r="E71" s="39" t="s">
        <v>372</v>
      </c>
      <c r="F71" s="37" t="s">
        <v>152</v>
      </c>
      <c r="G71" s="40" t="n">
        <v>230.97</v>
      </c>
      <c r="H71" s="41" t="n">
        <f aca="false">G71/$G$82</f>
        <v>0.000296602421001049</v>
      </c>
      <c r="I71" s="41" t="n">
        <f aca="false">SUM($G$5:G71)/$G$82</f>
        <v>0.998938282246027</v>
      </c>
      <c r="J71" s="37" t="s">
        <v>50</v>
      </c>
      <c r="K71" s="40"/>
      <c r="L71" s="39" t="s">
        <v>373</v>
      </c>
      <c r="M71" s="38" t="s">
        <v>17</v>
      </c>
      <c r="N71" s="39" t="s">
        <v>374</v>
      </c>
      <c r="O71" s="39" t="s">
        <v>375</v>
      </c>
    </row>
    <row r="72" customFormat="false" ht="15" hidden="false" customHeight="false" outlineLevel="0" collapsed="false">
      <c r="A72" s="37" t="s">
        <v>9</v>
      </c>
      <c r="B72" s="37" t="n">
        <v>68</v>
      </c>
      <c r="C72" s="38" t="s">
        <v>376</v>
      </c>
      <c r="D72" s="37" t="s">
        <v>377</v>
      </c>
      <c r="E72" s="39" t="s">
        <v>378</v>
      </c>
      <c r="F72" s="37" t="s">
        <v>57</v>
      </c>
      <c r="G72" s="40" t="n">
        <v>172.94</v>
      </c>
      <c r="H72" s="41" t="n">
        <f aca="false">G72/$G$82</f>
        <v>0.000222082619768461</v>
      </c>
      <c r="I72" s="41" t="n">
        <f aca="false">SUM($G$5:G72)/$G$82</f>
        <v>0.999160364865795</v>
      </c>
      <c r="J72" s="37" t="s">
        <v>50</v>
      </c>
      <c r="K72" s="40"/>
      <c r="L72" s="39" t="s">
        <v>379</v>
      </c>
      <c r="M72" s="38" t="s">
        <v>14</v>
      </c>
      <c r="N72" s="39" t="s">
        <v>380</v>
      </c>
      <c r="O72" s="39" t="s">
        <v>124</v>
      </c>
    </row>
    <row r="73" customFormat="false" ht="15" hidden="false" customHeight="false" outlineLevel="0" collapsed="false">
      <c r="A73" s="37" t="s">
        <v>9</v>
      </c>
      <c r="B73" s="37" t="n">
        <v>69</v>
      </c>
      <c r="C73" s="38" t="s">
        <v>381</v>
      </c>
      <c r="D73" s="37" t="s">
        <v>382</v>
      </c>
      <c r="E73" s="39" t="s">
        <v>383</v>
      </c>
      <c r="F73" s="37" t="s">
        <v>384</v>
      </c>
      <c r="G73" s="40" t="n">
        <v>148.98</v>
      </c>
      <c r="H73" s="41" t="n">
        <f aca="false">G73/$G$82</f>
        <v>0.000191314147641409</v>
      </c>
      <c r="I73" s="41" t="n">
        <f aca="false">SUM($G$5:G73)/$G$82</f>
        <v>0.999351679013437</v>
      </c>
      <c r="J73" s="37" t="s">
        <v>50</v>
      </c>
      <c r="K73" s="40"/>
      <c r="L73" s="39" t="s">
        <v>199</v>
      </c>
      <c r="M73" s="38" t="s">
        <v>14</v>
      </c>
      <c r="N73" s="39" t="s">
        <v>385</v>
      </c>
      <c r="O73" s="39" t="s">
        <v>124</v>
      </c>
    </row>
    <row r="74" customFormat="false" ht="15" hidden="false" customHeight="false" outlineLevel="0" collapsed="false">
      <c r="A74" s="37" t="s">
        <v>9</v>
      </c>
      <c r="B74" s="37" t="n">
        <v>70</v>
      </c>
      <c r="C74" s="38" t="s">
        <v>386</v>
      </c>
      <c r="D74" s="37" t="s">
        <v>387</v>
      </c>
      <c r="E74" s="39" t="s">
        <v>388</v>
      </c>
      <c r="F74" s="37" t="s">
        <v>320</v>
      </c>
      <c r="G74" s="40" t="n">
        <v>107.58</v>
      </c>
      <c r="H74" s="41" t="n">
        <f aca="false">G74/$G$82</f>
        <v>0.000138149926186487</v>
      </c>
      <c r="I74" s="41" t="n">
        <f aca="false">SUM($G$5:G74)/$G$82</f>
        <v>0.999489828939623</v>
      </c>
      <c r="J74" s="37" t="s">
        <v>50</v>
      </c>
      <c r="K74" s="40"/>
      <c r="L74" s="39" t="s">
        <v>373</v>
      </c>
      <c r="M74" s="38" t="s">
        <v>17</v>
      </c>
      <c r="N74" s="39" t="s">
        <v>389</v>
      </c>
      <c r="O74" s="39" t="s">
        <v>375</v>
      </c>
    </row>
    <row r="75" customFormat="false" ht="15" hidden="false" customHeight="false" outlineLevel="0" collapsed="false">
      <c r="A75" s="37" t="s">
        <v>9</v>
      </c>
      <c r="B75" s="37" t="n">
        <v>71</v>
      </c>
      <c r="C75" s="38" t="s">
        <v>390</v>
      </c>
      <c r="D75" s="37" t="s">
        <v>391</v>
      </c>
      <c r="E75" s="39" t="s">
        <v>392</v>
      </c>
      <c r="F75" s="37" t="s">
        <v>393</v>
      </c>
      <c r="G75" s="40" t="n">
        <v>99.35</v>
      </c>
      <c r="H75" s="41" t="n">
        <f aca="false">G75/$G$82</f>
        <v>0.000127581289892428</v>
      </c>
      <c r="I75" s="41" t="n">
        <f aca="false">SUM($G$5:G75)/$G$82</f>
        <v>0.999617410229515</v>
      </c>
      <c r="J75" s="37" t="s">
        <v>50</v>
      </c>
      <c r="K75" s="40"/>
      <c r="L75" s="39" t="s">
        <v>379</v>
      </c>
      <c r="M75" s="38" t="s">
        <v>14</v>
      </c>
      <c r="N75" s="39" t="s">
        <v>394</v>
      </c>
      <c r="O75" s="39" t="s">
        <v>124</v>
      </c>
    </row>
    <row r="76" customFormat="false" ht="15" hidden="false" customHeight="false" outlineLevel="0" collapsed="false">
      <c r="A76" s="37" t="s">
        <v>9</v>
      </c>
      <c r="B76" s="37" t="n">
        <v>72</v>
      </c>
      <c r="C76" s="38" t="s">
        <v>395</v>
      </c>
      <c r="D76" s="37" t="s">
        <v>396</v>
      </c>
      <c r="E76" s="39" t="s">
        <v>397</v>
      </c>
      <c r="F76" s="37" t="s">
        <v>57</v>
      </c>
      <c r="G76" s="40" t="n">
        <v>93.78</v>
      </c>
      <c r="H76" s="41" t="n">
        <f aca="false">G76/$G$82</f>
        <v>0.000120428519034846</v>
      </c>
      <c r="I76" s="41" t="n">
        <f aca="false">SUM($G$5:G76)/$G$82</f>
        <v>0.99973783874855</v>
      </c>
      <c r="J76" s="37" t="s">
        <v>50</v>
      </c>
      <c r="K76" s="40"/>
      <c r="L76" s="39" t="s">
        <v>398</v>
      </c>
      <c r="M76" s="38" t="s">
        <v>21</v>
      </c>
      <c r="N76" s="39" t="s">
        <v>399</v>
      </c>
      <c r="O76" s="39" t="s">
        <v>400</v>
      </c>
    </row>
    <row r="77" customFormat="false" ht="15" hidden="false" customHeight="false" outlineLevel="0" collapsed="false">
      <c r="A77" s="37" t="s">
        <v>9</v>
      </c>
      <c r="B77" s="37" t="n">
        <v>73</v>
      </c>
      <c r="C77" s="38" t="s">
        <v>401</v>
      </c>
      <c r="D77" s="37" t="s">
        <v>402</v>
      </c>
      <c r="E77" s="39" t="s">
        <v>403</v>
      </c>
      <c r="F77" s="37" t="s">
        <v>152</v>
      </c>
      <c r="G77" s="40" t="n">
        <v>81.75</v>
      </c>
      <c r="H77" s="41" t="n">
        <f aca="false">G77/$G$82</f>
        <v>0.000104980074974394</v>
      </c>
      <c r="I77" s="41" t="n">
        <f aca="false">SUM($G$5:G77)/$G$82</f>
        <v>0.999842818823525</v>
      </c>
      <c r="J77" s="30" t="s">
        <v>42</v>
      </c>
      <c r="K77" s="31" t="n">
        <v>-7.29</v>
      </c>
      <c r="L77" s="39" t="s">
        <v>404</v>
      </c>
      <c r="M77" s="38" t="s">
        <v>14</v>
      </c>
      <c r="N77" s="39" t="s">
        <v>405</v>
      </c>
      <c r="O77" s="39" t="s">
        <v>406</v>
      </c>
    </row>
    <row r="78" customFormat="false" ht="15" hidden="false" customHeight="false" outlineLevel="0" collapsed="false">
      <c r="A78" s="37" t="s">
        <v>9</v>
      </c>
      <c r="B78" s="37" t="n">
        <v>74</v>
      </c>
      <c r="C78" s="38" t="s">
        <v>407</v>
      </c>
      <c r="D78" s="37" t="s">
        <v>408</v>
      </c>
      <c r="E78" s="39" t="s">
        <v>409</v>
      </c>
      <c r="F78" s="37" t="s">
        <v>57</v>
      </c>
      <c r="G78" s="40" t="n">
        <v>58.16</v>
      </c>
      <c r="H78" s="41" t="n">
        <f aca="false">G78/$G$82</f>
        <v>7.46867420245963E-005</v>
      </c>
      <c r="I78" s="41" t="n">
        <f aca="false">SUM($G$5:G78)/$G$82</f>
        <v>0.999917505565549</v>
      </c>
      <c r="J78" s="37" t="s">
        <v>50</v>
      </c>
      <c r="K78" s="40"/>
      <c r="L78" s="39" t="s">
        <v>410</v>
      </c>
      <c r="M78" s="38" t="s">
        <v>14</v>
      </c>
      <c r="N78" s="39" t="s">
        <v>411</v>
      </c>
      <c r="O78" s="39" t="s">
        <v>124</v>
      </c>
    </row>
    <row r="79" customFormat="false" ht="15" hidden="false" customHeight="false" outlineLevel="0" collapsed="false">
      <c r="A79" s="37" t="s">
        <v>9</v>
      </c>
      <c r="B79" s="37" t="n">
        <v>75</v>
      </c>
      <c r="C79" s="38" t="s">
        <v>412</v>
      </c>
      <c r="D79" s="37" t="s">
        <v>413</v>
      </c>
      <c r="E79" s="39" t="s">
        <v>414</v>
      </c>
      <c r="F79" s="37" t="s">
        <v>57</v>
      </c>
      <c r="G79" s="40" t="n">
        <v>39.64</v>
      </c>
      <c r="H79" s="41" t="n">
        <f aca="false">G79/$G$82</f>
        <v>5.09040999631189E-005</v>
      </c>
      <c r="I79" s="41" t="n">
        <f aca="false">SUM($G$5:G79)/$G$82</f>
        <v>0.999968409665512</v>
      </c>
      <c r="J79" s="37" t="s">
        <v>50</v>
      </c>
      <c r="K79" s="40"/>
      <c r="L79" s="39" t="s">
        <v>199</v>
      </c>
      <c r="M79" s="38" t="s">
        <v>14</v>
      </c>
      <c r="N79" s="39" t="s">
        <v>415</v>
      </c>
      <c r="O79" s="39" t="s">
        <v>124</v>
      </c>
    </row>
    <row r="80" customFormat="false" ht="15" hidden="false" customHeight="false" outlineLevel="0" collapsed="false">
      <c r="A80" s="37" t="s">
        <v>9</v>
      </c>
      <c r="B80" s="37" t="n">
        <v>76</v>
      </c>
      <c r="C80" s="38" t="s">
        <v>416</v>
      </c>
      <c r="D80" s="37" t="s">
        <v>417</v>
      </c>
      <c r="E80" s="39" t="s">
        <v>418</v>
      </c>
      <c r="F80" s="37" t="s">
        <v>393</v>
      </c>
      <c r="G80" s="40" t="n">
        <v>14.99</v>
      </c>
      <c r="H80" s="41" t="n">
        <f aca="false">G80/$G$82</f>
        <v>1.92495574784852E-005</v>
      </c>
      <c r="I80" s="41" t="n">
        <f aca="false">SUM($G$5:G80)/$G$82</f>
        <v>0.999987659222991</v>
      </c>
      <c r="J80" s="37" t="s">
        <v>50</v>
      </c>
      <c r="K80" s="40"/>
      <c r="L80" s="39" t="s">
        <v>379</v>
      </c>
      <c r="M80" s="38" t="s">
        <v>14</v>
      </c>
      <c r="N80" s="39" t="s">
        <v>419</v>
      </c>
      <c r="O80" s="39" t="s">
        <v>124</v>
      </c>
    </row>
    <row r="81" customFormat="false" ht="15" hidden="false" customHeight="false" outlineLevel="0" collapsed="false">
      <c r="A81" s="37" t="s">
        <v>9</v>
      </c>
      <c r="B81" s="37" t="n">
        <v>77</v>
      </c>
      <c r="C81" s="38" t="s">
        <v>420</v>
      </c>
      <c r="D81" s="37" t="s">
        <v>421</v>
      </c>
      <c r="E81" s="39" t="s">
        <v>422</v>
      </c>
      <c r="F81" s="37" t="s">
        <v>81</v>
      </c>
      <c r="G81" s="40" t="n">
        <v>9.61</v>
      </c>
      <c r="H81" s="41" t="n">
        <f aca="false">G81/$G$82</f>
        <v>1.23407770092223E-005</v>
      </c>
      <c r="I81" s="41" t="n">
        <f aca="false">SUM($G$5:G81)/$G$82</f>
        <v>1</v>
      </c>
      <c r="J81" s="37" t="s">
        <v>50</v>
      </c>
      <c r="K81" s="40"/>
      <c r="L81" s="39" t="s">
        <v>379</v>
      </c>
      <c r="M81" s="38" t="s">
        <v>14</v>
      </c>
      <c r="N81" s="39" t="s">
        <v>423</v>
      </c>
      <c r="O81" s="39" t="s">
        <v>124</v>
      </c>
    </row>
    <row r="82" customFormat="false" ht="15" hidden="false" customHeight="false" outlineLevel="0" collapsed="false">
      <c r="A82" s="42"/>
      <c r="B82" s="42"/>
      <c r="C82" s="42"/>
      <c r="D82" s="42"/>
      <c r="E82" s="42" t="s">
        <v>10</v>
      </c>
      <c r="F82" s="42"/>
      <c r="G82" s="43" t="n">
        <f aca="false">SUM(G5:G81)</f>
        <v>778719.2</v>
      </c>
      <c r="H82" s="44" t="n">
        <f aca="false">SUM(H5:H81)</f>
        <v>1</v>
      </c>
      <c r="I82" s="42"/>
      <c r="J82" s="42"/>
      <c r="K82" s="43" t="n">
        <f aca="false">SUM(K5:K81)</f>
        <v>-24955.96</v>
      </c>
      <c r="L82" s="42"/>
      <c r="M82" s="42"/>
      <c r="N82" s="42"/>
      <c r="O82" s="42"/>
    </row>
    <row r="84" customFormat="false" ht="15" hidden="false" customHeight="false" outlineLevel="0" collapsed="false">
      <c r="A84" s="2" t="s">
        <v>424</v>
      </c>
    </row>
    <row r="85" customFormat="false" ht="15" hidden="false" customHeight="false" outlineLevel="0" collapsed="false">
      <c r="A85" s="2" t="s">
        <v>425</v>
      </c>
    </row>
  </sheetData>
  <autoFilter ref="A4:O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5" t="s">
        <v>426</v>
      </c>
    </row>
    <row r="2" customFormat="false" ht="15" hidden="false" customHeight="false" outlineLevel="0" collapsed="false">
      <c r="A2" s="46" t="s">
        <v>427</v>
      </c>
      <c r="B2" s="47" t="s">
        <v>428</v>
      </c>
    </row>
    <row r="3" customFormat="false" ht="23.85" hidden="false" customHeight="false" outlineLevel="0" collapsed="false">
      <c r="A3" s="46" t="s">
        <v>429</v>
      </c>
      <c r="B3" s="47" t="s">
        <v>430</v>
      </c>
    </row>
    <row r="4" customFormat="false" ht="23.85" hidden="false" customHeight="false" outlineLevel="0" collapsed="false">
      <c r="A4" s="46" t="s">
        <v>431</v>
      </c>
      <c r="B4" s="47" t="s">
        <v>432</v>
      </c>
    </row>
    <row r="5" customFormat="false" ht="15" hidden="false" customHeight="false" outlineLevel="0" collapsed="false">
      <c r="A5" s="48"/>
    </row>
    <row r="6" customFormat="false" ht="15" hidden="false" customHeight="false" outlineLevel="0" collapsed="false">
      <c r="A6" s="45" t="s">
        <v>433</v>
      </c>
    </row>
    <row r="7" customFormat="false" ht="15" hidden="false" customHeight="false" outlineLevel="0" collapsed="false">
      <c r="A7" s="46" t="s">
        <v>26</v>
      </c>
      <c r="B7" s="47" t="s">
        <v>434</v>
      </c>
    </row>
    <row r="8" customFormat="false" ht="15" hidden="false" customHeight="false" outlineLevel="0" collapsed="false">
      <c r="A8" s="46" t="s">
        <v>27</v>
      </c>
      <c r="B8" s="47" t="s">
        <v>435</v>
      </c>
    </row>
    <row r="9" customFormat="false" ht="15" hidden="false" customHeight="false" outlineLevel="0" collapsed="false">
      <c r="A9" s="46" t="s">
        <v>30</v>
      </c>
      <c r="B9" s="47" t="s">
        <v>436</v>
      </c>
    </row>
    <row r="10" customFormat="false" ht="15" hidden="false" customHeight="false" outlineLevel="0" collapsed="false">
      <c r="A10" s="46" t="s">
        <v>32</v>
      </c>
      <c r="B10" s="47" t="s">
        <v>437</v>
      </c>
    </row>
    <row r="11" customFormat="false" ht="15" hidden="false" customHeight="false" outlineLevel="0" collapsed="false">
      <c r="A11" s="46" t="s">
        <v>438</v>
      </c>
      <c r="B11" s="47" t="s">
        <v>439</v>
      </c>
    </row>
    <row r="12" customFormat="false" ht="15" hidden="false" customHeight="false" outlineLevel="0" collapsed="false">
      <c r="A12" s="46" t="s">
        <v>440</v>
      </c>
      <c r="B12" s="47" t="s">
        <v>441</v>
      </c>
    </row>
    <row r="13" customFormat="false" ht="23.85" hidden="false" customHeight="false" outlineLevel="0" collapsed="false">
      <c r="A13" s="46" t="s">
        <v>442</v>
      </c>
      <c r="B13" s="47" t="s">
        <v>443</v>
      </c>
    </row>
    <row r="14" customFormat="false" ht="15" hidden="false" customHeight="false" outlineLevel="0" collapsed="false">
      <c r="A14" s="48"/>
    </row>
    <row r="15" customFormat="false" ht="15" hidden="false" customHeight="false" outlineLevel="0" collapsed="false">
      <c r="A15" s="45" t="s">
        <v>35</v>
      </c>
    </row>
    <row r="16" customFormat="false" ht="23.85" hidden="false" customHeight="false" outlineLevel="0" collapsed="false">
      <c r="A16" s="46" t="s">
        <v>14</v>
      </c>
      <c r="B16" s="47" t="s">
        <v>444</v>
      </c>
    </row>
    <row r="17" customFormat="false" ht="15" hidden="false" customHeight="false" outlineLevel="0" collapsed="false">
      <c r="A17" s="46" t="s">
        <v>15</v>
      </c>
      <c r="B17" s="47" t="s">
        <v>445</v>
      </c>
    </row>
    <row r="18" customFormat="false" ht="15" hidden="false" customHeight="false" outlineLevel="0" collapsed="false">
      <c r="A18" s="46" t="s">
        <v>446</v>
      </c>
      <c r="B18" s="47" t="s">
        <v>447</v>
      </c>
    </row>
    <row r="19" customFormat="false" ht="15" hidden="false" customHeight="false" outlineLevel="0" collapsed="false">
      <c r="A19" s="46" t="s">
        <v>19</v>
      </c>
      <c r="B19" s="47" t="s">
        <v>448</v>
      </c>
    </row>
    <row r="20" customFormat="false" ht="15" hidden="false" customHeight="false" outlineLevel="0" collapsed="false">
      <c r="A20" s="46" t="s">
        <v>20</v>
      </c>
      <c r="B20" s="47" t="s">
        <v>449</v>
      </c>
    </row>
    <row r="21" customFormat="false" ht="15" hidden="false" customHeight="false" outlineLevel="0" collapsed="false">
      <c r="A21" s="46" t="s">
        <v>21</v>
      </c>
      <c r="B21" s="47" t="s">
        <v>450</v>
      </c>
    </row>
    <row r="22" customFormat="false" ht="15" hidden="false" customHeight="false" outlineLevel="0" collapsed="false">
      <c r="A22" s="48"/>
    </row>
    <row r="23" customFormat="false" ht="15" hidden="false" customHeight="false" outlineLevel="0" collapsed="false">
      <c r="A23" s="46" t="s">
        <v>451</v>
      </c>
      <c r="B23" s="47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5" min="4" style="0" width="13"/>
    <col collapsed="false" customWidth="true" hidden="false" outlineLevel="0" max="8" min="6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6"/>
    <col collapsed="false" customWidth="true" hidden="false" outlineLevel="0" max="12" min="12" style="0" width="90"/>
  </cols>
  <sheetData>
    <row r="1" customFormat="false" ht="16.15" hidden="false" customHeight="false" outlineLevel="0" collapsed="false">
      <c r="A1" s="1" t="s">
        <v>453</v>
      </c>
    </row>
    <row r="2" customFormat="false" ht="15" hidden="false" customHeight="false" outlineLevel="0" collapsed="false">
      <c r="A2" s="2" t="s">
        <v>454</v>
      </c>
    </row>
    <row r="4" customFormat="false" ht="30" hidden="false" customHeight="true" outlineLevel="0" collapsed="false">
      <c r="A4" s="24" t="s">
        <v>25</v>
      </c>
      <c r="B4" s="24" t="s">
        <v>26</v>
      </c>
      <c r="C4" s="24" t="s">
        <v>28</v>
      </c>
      <c r="D4" s="24" t="s">
        <v>455</v>
      </c>
      <c r="E4" s="24" t="s">
        <v>456</v>
      </c>
      <c r="F4" s="24" t="s">
        <v>457</v>
      </c>
      <c r="G4" s="24" t="s">
        <v>458</v>
      </c>
      <c r="H4" s="24" t="s">
        <v>459</v>
      </c>
      <c r="I4" s="24" t="s">
        <v>460</v>
      </c>
      <c r="J4" s="24" t="s">
        <v>461</v>
      </c>
      <c r="K4" s="24" t="s">
        <v>462</v>
      </c>
      <c r="L4" s="24" t="s">
        <v>463</v>
      </c>
    </row>
    <row r="5" customFormat="false" ht="15" hidden="false" customHeight="false" outlineLevel="0" collapsed="false">
      <c r="A5" s="49" t="n">
        <v>1</v>
      </c>
      <c r="B5" s="50" t="s">
        <v>38</v>
      </c>
      <c r="C5" s="51" t="s">
        <v>40</v>
      </c>
      <c r="D5" s="49" t="s">
        <v>41</v>
      </c>
      <c r="E5" s="49" t="s">
        <v>41</v>
      </c>
      <c r="F5" s="52" t="n">
        <v>215671.4</v>
      </c>
      <c r="G5" s="52" t="n">
        <v>215671.4</v>
      </c>
      <c r="H5" s="52" t="n">
        <f aca="false">F5-G5</f>
        <v>0</v>
      </c>
      <c r="I5" s="53" t="n">
        <f aca="false">IF(G5=0,"",H5/G5)</f>
        <v>0</v>
      </c>
      <c r="J5" s="49" t="s">
        <v>464</v>
      </c>
      <c r="K5" s="51" t="s">
        <v>465</v>
      </c>
      <c r="L5" s="51" t="s">
        <v>466</v>
      </c>
    </row>
    <row r="6" customFormat="false" ht="15" hidden="false" customHeight="false" outlineLevel="0" collapsed="false">
      <c r="A6" s="49" t="n">
        <v>2</v>
      </c>
      <c r="B6" s="50" t="s">
        <v>46</v>
      </c>
      <c r="C6" s="51" t="s">
        <v>48</v>
      </c>
      <c r="D6" s="49" t="s">
        <v>49</v>
      </c>
      <c r="E6" s="49" t="s">
        <v>467</v>
      </c>
      <c r="F6" s="52" t="n">
        <v>47892</v>
      </c>
      <c r="G6" s="52" t="n">
        <v>47824.8</v>
      </c>
      <c r="H6" s="52" t="n">
        <f aca="false">F6-G6</f>
        <v>67.1999999999971</v>
      </c>
      <c r="I6" s="53" t="n">
        <f aca="false">IF(G6=0,"",H6/G6)</f>
        <v>0.00140512871982731</v>
      </c>
      <c r="J6" s="49" t="s">
        <v>468</v>
      </c>
      <c r="K6" s="51" t="s">
        <v>469</v>
      </c>
      <c r="L6" s="51" t="s">
        <v>470</v>
      </c>
    </row>
    <row r="7" customFormat="false" ht="15" hidden="false" customHeight="false" outlineLevel="0" collapsed="false">
      <c r="A7" s="49" t="n">
        <v>3</v>
      </c>
      <c r="B7" s="50" t="s">
        <v>54</v>
      </c>
      <c r="C7" s="51" t="s">
        <v>56</v>
      </c>
      <c r="D7" s="49" t="s">
        <v>57</v>
      </c>
      <c r="E7" s="49" t="s">
        <v>57</v>
      </c>
      <c r="F7" s="52" t="n">
        <v>33609.38</v>
      </c>
      <c r="G7" s="52" t="n">
        <v>33609.38</v>
      </c>
      <c r="H7" s="52" t="n">
        <f aca="false">F7-G7</f>
        <v>0</v>
      </c>
      <c r="I7" s="53" t="n">
        <f aca="false">IF(G7=0,"",H7/G7)</f>
        <v>0</v>
      </c>
      <c r="J7" s="49" t="s">
        <v>71</v>
      </c>
      <c r="K7" s="51" t="s">
        <v>471</v>
      </c>
      <c r="L7" s="51" t="s">
        <v>466</v>
      </c>
    </row>
    <row r="8" customFormat="false" ht="15" hidden="false" customHeight="false" outlineLevel="0" collapsed="false">
      <c r="A8" s="49" t="n">
        <v>4</v>
      </c>
      <c r="B8" s="50" t="s">
        <v>59</v>
      </c>
      <c r="C8" s="51" t="s">
        <v>61</v>
      </c>
      <c r="D8" s="49" t="s">
        <v>62</v>
      </c>
      <c r="E8" s="49" t="s">
        <v>62</v>
      </c>
      <c r="F8" s="52" t="n">
        <v>30354.8</v>
      </c>
      <c r="G8" s="52" t="n">
        <v>26196.8</v>
      </c>
      <c r="H8" s="52" t="n">
        <f aca="false">F8-G8</f>
        <v>4158</v>
      </c>
      <c r="I8" s="53" t="n">
        <f aca="false">IF(G8=0,"",H8/G8)</f>
        <v>0.158721675929885</v>
      </c>
      <c r="J8" s="49" t="s">
        <v>98</v>
      </c>
      <c r="K8" s="51" t="s">
        <v>471</v>
      </c>
      <c r="L8" s="51" t="s">
        <v>472</v>
      </c>
    </row>
    <row r="9" customFormat="false" ht="15" hidden="false" customHeight="false" outlineLevel="0" collapsed="false">
      <c r="A9" s="49" t="n">
        <v>5</v>
      </c>
      <c r="B9" s="50" t="s">
        <v>66</v>
      </c>
      <c r="C9" s="51" t="s">
        <v>68</v>
      </c>
      <c r="D9" s="49" t="s">
        <v>57</v>
      </c>
      <c r="E9" s="49" t="s">
        <v>57</v>
      </c>
      <c r="F9" s="52" t="n">
        <v>29576.26</v>
      </c>
      <c r="G9" s="52" t="n">
        <v>29576.26</v>
      </c>
      <c r="H9" s="52" t="n">
        <f aca="false">F9-G9</f>
        <v>0</v>
      </c>
      <c r="I9" s="53" t="n">
        <f aca="false">IF(G9=0,"",H9/G9)</f>
        <v>0</v>
      </c>
      <c r="J9" s="49" t="s">
        <v>95</v>
      </c>
      <c r="K9" s="51" t="s">
        <v>471</v>
      </c>
      <c r="L9" s="51" t="s">
        <v>466</v>
      </c>
    </row>
    <row r="10" customFormat="false" ht="15" hidden="false" customHeight="false" outlineLevel="0" collapsed="false">
      <c r="A10" s="49" t="n">
        <v>6</v>
      </c>
      <c r="B10" s="50" t="s">
        <v>70</v>
      </c>
      <c r="C10" s="51" t="s">
        <v>72</v>
      </c>
      <c r="D10" s="49" t="s">
        <v>57</v>
      </c>
      <c r="E10" s="49" t="s">
        <v>57</v>
      </c>
      <c r="F10" s="52" t="n">
        <v>29576.26</v>
      </c>
      <c r="G10" s="52" t="n">
        <v>29576.26</v>
      </c>
      <c r="H10" s="52" t="n">
        <f aca="false">F10-G10</f>
        <v>0</v>
      </c>
      <c r="I10" s="53" t="n">
        <f aca="false">IF(G10=0,"",H10/G10)</f>
        <v>0</v>
      </c>
      <c r="J10" s="49" t="s">
        <v>113</v>
      </c>
      <c r="K10" s="51" t="s">
        <v>471</v>
      </c>
      <c r="L10" s="51" t="s">
        <v>466</v>
      </c>
    </row>
    <row r="11" customFormat="false" ht="15" hidden="false" customHeight="false" outlineLevel="0" collapsed="false">
      <c r="A11" s="49" t="n">
        <v>7</v>
      </c>
      <c r="B11" s="50" t="s">
        <v>74</v>
      </c>
      <c r="C11" s="51" t="s">
        <v>76</v>
      </c>
      <c r="D11" s="49" t="s">
        <v>57</v>
      </c>
      <c r="E11" s="49" t="s">
        <v>57</v>
      </c>
      <c r="F11" s="52" t="n">
        <v>25886.62</v>
      </c>
      <c r="G11" s="52" t="n">
        <v>25886.62</v>
      </c>
      <c r="H11" s="52" t="n">
        <f aca="false">F11-G11</f>
        <v>0</v>
      </c>
      <c r="I11" s="53" t="n">
        <f aca="false">IF(G11=0,"",H11/G11)</f>
        <v>0</v>
      </c>
      <c r="J11" s="49" t="s">
        <v>281</v>
      </c>
      <c r="K11" s="51" t="s">
        <v>471</v>
      </c>
      <c r="L11" s="51" t="s">
        <v>466</v>
      </c>
    </row>
    <row r="12" customFormat="false" ht="15" hidden="false" customHeight="false" outlineLevel="0" collapsed="false">
      <c r="A12" s="32" t="n">
        <v>8</v>
      </c>
      <c r="B12" s="33" t="s">
        <v>78</v>
      </c>
      <c r="C12" s="34" t="s">
        <v>80</v>
      </c>
      <c r="D12" s="32" t="s">
        <v>81</v>
      </c>
      <c r="E12" s="32" t="s">
        <v>81</v>
      </c>
      <c r="F12" s="35" t="n">
        <v>25370.35</v>
      </c>
      <c r="G12" s="35" t="n">
        <v>38386.51</v>
      </c>
      <c r="H12" s="35" t="n">
        <f aca="false">F12-G12</f>
        <v>-13016.16</v>
      </c>
      <c r="I12" s="54" t="n">
        <f aca="false">IF(G12=0,"",H12/G12)</f>
        <v>-0.339081620079554</v>
      </c>
      <c r="J12" s="32" t="s">
        <v>79</v>
      </c>
      <c r="K12" s="34" t="s">
        <v>473</v>
      </c>
      <c r="L12" s="34" t="s">
        <v>474</v>
      </c>
    </row>
    <row r="13" customFormat="false" ht="15" hidden="false" customHeight="false" outlineLevel="0" collapsed="false">
      <c r="A13" s="49" t="n">
        <v>9</v>
      </c>
      <c r="B13" s="50" t="s">
        <v>85</v>
      </c>
      <c r="C13" s="51" t="s">
        <v>87</v>
      </c>
      <c r="D13" s="49" t="s">
        <v>57</v>
      </c>
      <c r="E13" s="49" t="s">
        <v>57</v>
      </c>
      <c r="F13" s="52" t="n">
        <v>24987.56</v>
      </c>
      <c r="G13" s="52" t="n">
        <v>24534.42</v>
      </c>
      <c r="H13" s="52" t="n">
        <f aca="false">F13-G13</f>
        <v>453.140000000003</v>
      </c>
      <c r="I13" s="53" t="n">
        <f aca="false">IF(G13=0,"",H13/G13)</f>
        <v>0.0184695623536241</v>
      </c>
      <c r="J13" s="49" t="s">
        <v>126</v>
      </c>
      <c r="K13" s="51" t="s">
        <v>471</v>
      </c>
      <c r="L13" s="51" t="s">
        <v>472</v>
      </c>
    </row>
    <row r="14" customFormat="false" ht="15" hidden="false" customHeight="false" outlineLevel="0" collapsed="false">
      <c r="A14" s="49" t="n">
        <v>10</v>
      </c>
      <c r="B14" s="50" t="s">
        <v>91</v>
      </c>
      <c r="C14" s="51" t="s">
        <v>93</v>
      </c>
      <c r="D14" s="49" t="s">
        <v>57</v>
      </c>
      <c r="E14" s="49" t="s">
        <v>57</v>
      </c>
      <c r="F14" s="52" t="n">
        <v>24198.74</v>
      </c>
      <c r="G14" s="52" t="n">
        <v>24198.74</v>
      </c>
      <c r="H14" s="52" t="n">
        <f aca="false">F14-G14</f>
        <v>0</v>
      </c>
      <c r="I14" s="53" t="n">
        <f aca="false">IF(G14=0,"",H14/G14)</f>
        <v>0</v>
      </c>
      <c r="J14" s="49" t="s">
        <v>475</v>
      </c>
      <c r="K14" s="51" t="s">
        <v>476</v>
      </c>
      <c r="L14" s="51" t="s">
        <v>466</v>
      </c>
    </row>
    <row r="15" customFormat="false" ht="15" hidden="false" customHeight="false" outlineLevel="0" collapsed="false">
      <c r="A15" s="49" t="n">
        <v>11</v>
      </c>
      <c r="B15" s="50" t="s">
        <v>94</v>
      </c>
      <c r="C15" s="51" t="s">
        <v>96</v>
      </c>
      <c r="D15" s="49" t="s">
        <v>57</v>
      </c>
      <c r="E15" s="49" t="s">
        <v>57</v>
      </c>
      <c r="F15" s="52" t="n">
        <v>24198.74</v>
      </c>
      <c r="G15" s="52" t="n">
        <v>24198.74</v>
      </c>
      <c r="H15" s="52" t="n">
        <f aca="false">F15-G15</f>
        <v>0</v>
      </c>
      <c r="I15" s="53" t="n">
        <f aca="false">IF(G15=0,"",H15/G15)</f>
        <v>0</v>
      </c>
      <c r="J15" s="49" t="s">
        <v>117</v>
      </c>
      <c r="K15" s="51" t="s">
        <v>471</v>
      </c>
      <c r="L15" s="51" t="s">
        <v>466</v>
      </c>
    </row>
    <row r="16" customFormat="false" ht="15" hidden="false" customHeight="false" outlineLevel="0" collapsed="false">
      <c r="A16" s="49" t="n">
        <v>12</v>
      </c>
      <c r="B16" s="50" t="s">
        <v>97</v>
      </c>
      <c r="C16" s="51" t="s">
        <v>99</v>
      </c>
      <c r="D16" s="49" t="s">
        <v>100</v>
      </c>
      <c r="E16" s="49" t="s">
        <v>477</v>
      </c>
      <c r="F16" s="52" t="n">
        <v>21270.15</v>
      </c>
      <c r="G16" s="52" t="n">
        <v>20546.1</v>
      </c>
      <c r="H16" s="52" t="n">
        <f aca="false">F16-G16</f>
        <v>724.050000000003</v>
      </c>
      <c r="I16" s="53" t="n">
        <f aca="false">IF(G16=0,"",H16/G16)</f>
        <v>0.035240264575759</v>
      </c>
      <c r="J16" s="49" t="s">
        <v>408</v>
      </c>
      <c r="K16" s="51" t="s">
        <v>471</v>
      </c>
      <c r="L16" s="51" t="s">
        <v>472</v>
      </c>
    </row>
    <row r="17" customFormat="false" ht="15" hidden="false" customHeight="false" outlineLevel="0" collapsed="false">
      <c r="A17" s="49" t="n">
        <v>13</v>
      </c>
      <c r="B17" s="50" t="s">
        <v>104</v>
      </c>
      <c r="C17" s="51" t="s">
        <v>106</v>
      </c>
      <c r="D17" s="49" t="s">
        <v>57</v>
      </c>
      <c r="E17" s="49" t="s">
        <v>57</v>
      </c>
      <c r="F17" s="52" t="n">
        <v>17476.88</v>
      </c>
      <c r="G17" s="52" t="n">
        <v>17476.88</v>
      </c>
      <c r="H17" s="52" t="n">
        <f aca="false">F17-G17</f>
        <v>0</v>
      </c>
      <c r="I17" s="53" t="n">
        <f aca="false">IF(G17=0,"",H17/G17)</f>
        <v>0</v>
      </c>
      <c r="J17" s="49" t="s">
        <v>134</v>
      </c>
      <c r="K17" s="51" t="s">
        <v>476</v>
      </c>
      <c r="L17" s="51" t="s">
        <v>466</v>
      </c>
    </row>
    <row r="18" customFormat="false" ht="15" hidden="false" customHeight="false" outlineLevel="0" collapsed="false">
      <c r="A18" s="49" t="n">
        <v>14</v>
      </c>
      <c r="B18" s="50" t="s">
        <v>108</v>
      </c>
      <c r="C18" s="51" t="s">
        <v>110</v>
      </c>
      <c r="D18" s="49" t="s">
        <v>57</v>
      </c>
      <c r="E18" s="49" t="s">
        <v>57</v>
      </c>
      <c r="F18" s="52" t="n">
        <v>16132.5</v>
      </c>
      <c r="G18" s="52" t="n">
        <v>16132.5</v>
      </c>
      <c r="H18" s="52" t="n">
        <f aca="false">F18-G18</f>
        <v>0</v>
      </c>
      <c r="I18" s="53" t="n">
        <f aca="false">IF(G18=0,"",H18/G18)</f>
        <v>0</v>
      </c>
      <c r="J18" s="49" t="s">
        <v>131</v>
      </c>
      <c r="K18" s="51" t="s">
        <v>471</v>
      </c>
      <c r="L18" s="51" t="s">
        <v>466</v>
      </c>
    </row>
    <row r="19" customFormat="false" ht="15" hidden="false" customHeight="false" outlineLevel="0" collapsed="false">
      <c r="A19" s="49" t="n">
        <v>15</v>
      </c>
      <c r="B19" s="50" t="s">
        <v>112</v>
      </c>
      <c r="C19" s="51" t="s">
        <v>114</v>
      </c>
      <c r="D19" s="49" t="s">
        <v>57</v>
      </c>
      <c r="E19" s="49" t="s">
        <v>57</v>
      </c>
      <c r="F19" s="52" t="n">
        <v>16132.5</v>
      </c>
      <c r="G19" s="52" t="n">
        <v>16132.5</v>
      </c>
      <c r="H19" s="52" t="n">
        <f aca="false">F19-G19</f>
        <v>0</v>
      </c>
      <c r="I19" s="53" t="n">
        <f aca="false">IF(G19=0,"",H19/G19)</f>
        <v>0</v>
      </c>
      <c r="J19" s="49" t="s">
        <v>478</v>
      </c>
      <c r="K19" s="51" t="s">
        <v>471</v>
      </c>
      <c r="L19" s="51" t="s">
        <v>466</v>
      </c>
    </row>
    <row r="20" customFormat="false" ht="15" hidden="false" customHeight="false" outlineLevel="0" collapsed="false">
      <c r="A20" s="49" t="n">
        <v>16</v>
      </c>
      <c r="B20" s="50" t="s">
        <v>116</v>
      </c>
      <c r="C20" s="51" t="s">
        <v>118</v>
      </c>
      <c r="D20" s="49" t="s">
        <v>57</v>
      </c>
      <c r="E20" s="49" t="s">
        <v>57</v>
      </c>
      <c r="F20" s="52" t="n">
        <v>13443.74</v>
      </c>
      <c r="G20" s="52" t="n">
        <v>13443.74</v>
      </c>
      <c r="H20" s="52" t="n">
        <f aca="false">F20-G20</f>
        <v>0</v>
      </c>
      <c r="I20" s="53" t="n">
        <f aca="false">IF(G20=0,"",H20/G20)</f>
        <v>0</v>
      </c>
      <c r="J20" s="49" t="s">
        <v>371</v>
      </c>
      <c r="K20" s="51" t="s">
        <v>471</v>
      </c>
      <c r="L20" s="51" t="s">
        <v>466</v>
      </c>
    </row>
    <row r="21" customFormat="false" ht="15" hidden="false" customHeight="false" outlineLevel="0" collapsed="false">
      <c r="A21" s="49" t="n">
        <v>17</v>
      </c>
      <c r="B21" s="50" t="s">
        <v>119</v>
      </c>
      <c r="C21" s="51" t="s">
        <v>121</v>
      </c>
      <c r="D21" s="49" t="s">
        <v>62</v>
      </c>
      <c r="E21" s="49" t="s">
        <v>62</v>
      </c>
      <c r="F21" s="52" t="n">
        <v>13400.8</v>
      </c>
      <c r="G21" s="52" t="n">
        <v>13195</v>
      </c>
      <c r="H21" s="52" t="n">
        <f aca="false">F21-G21</f>
        <v>205.799999999999</v>
      </c>
      <c r="I21" s="53" t="n">
        <f aca="false">IF(G21=0,"",H21/G21)</f>
        <v>0.0155968169761273</v>
      </c>
      <c r="J21" s="49" t="s">
        <v>256</v>
      </c>
      <c r="K21" s="51" t="s">
        <v>479</v>
      </c>
      <c r="L21" s="51" t="s">
        <v>480</v>
      </c>
    </row>
    <row r="22" customFormat="false" ht="15" hidden="false" customHeight="false" outlineLevel="0" collapsed="false">
      <c r="A22" s="49" t="n">
        <v>18</v>
      </c>
      <c r="B22" s="50" t="s">
        <v>125</v>
      </c>
      <c r="C22" s="51" t="s">
        <v>127</v>
      </c>
      <c r="D22" s="49" t="s">
        <v>57</v>
      </c>
      <c r="E22" s="49" t="s">
        <v>57</v>
      </c>
      <c r="F22" s="52" t="n">
        <v>13396.96</v>
      </c>
      <c r="G22" s="52" t="n">
        <v>13184.92</v>
      </c>
      <c r="H22" s="52" t="n">
        <f aca="false">F22-G22</f>
        <v>212.039999999999</v>
      </c>
      <c r="I22" s="53" t="n">
        <f aca="false">IF(G22=0,"",H22/G22)</f>
        <v>0.0160820088404024</v>
      </c>
      <c r="J22" s="49" t="s">
        <v>481</v>
      </c>
      <c r="K22" s="51" t="s">
        <v>471</v>
      </c>
      <c r="L22" s="51" t="s">
        <v>472</v>
      </c>
    </row>
    <row r="23" customFormat="false" ht="15" hidden="false" customHeight="false" outlineLevel="0" collapsed="false">
      <c r="A23" s="49" t="n">
        <v>19</v>
      </c>
      <c r="B23" s="50" t="s">
        <v>130</v>
      </c>
      <c r="C23" s="51" t="s">
        <v>132</v>
      </c>
      <c r="D23" s="49" t="s">
        <v>57</v>
      </c>
      <c r="E23" s="49" t="s">
        <v>57</v>
      </c>
      <c r="F23" s="52" t="n">
        <v>9410.62</v>
      </c>
      <c r="G23" s="52" t="n">
        <v>9410.62</v>
      </c>
      <c r="H23" s="52" t="n">
        <f aca="false">F23-G23</f>
        <v>0</v>
      </c>
      <c r="I23" s="53" t="n">
        <f aca="false">IF(G23=0,"",H23/G23)</f>
        <v>0</v>
      </c>
      <c r="J23" s="49" t="s">
        <v>188</v>
      </c>
      <c r="K23" s="51" t="s">
        <v>471</v>
      </c>
      <c r="L23" s="51" t="s">
        <v>466</v>
      </c>
    </row>
    <row r="24" customFormat="false" ht="15" hidden="false" customHeight="false" outlineLevel="0" collapsed="false">
      <c r="A24" s="49" t="n">
        <v>20</v>
      </c>
      <c r="B24" s="50" t="s">
        <v>133</v>
      </c>
      <c r="C24" s="51" t="s">
        <v>135</v>
      </c>
      <c r="D24" s="49" t="s">
        <v>57</v>
      </c>
      <c r="E24" s="49" t="s">
        <v>57</v>
      </c>
      <c r="F24" s="52" t="n">
        <v>8738.44</v>
      </c>
      <c r="G24" s="52" t="n">
        <v>8738.44</v>
      </c>
      <c r="H24" s="52" t="n">
        <f aca="false">F24-G24</f>
        <v>0</v>
      </c>
      <c r="I24" s="53" t="n">
        <f aca="false">IF(G24=0,"",H24/G24)</f>
        <v>0</v>
      </c>
      <c r="J24" s="49" t="s">
        <v>137</v>
      </c>
      <c r="K24" s="51" t="s">
        <v>471</v>
      </c>
      <c r="L24" s="51" t="s">
        <v>466</v>
      </c>
    </row>
    <row r="25" customFormat="false" ht="15" hidden="false" customHeight="false" outlineLevel="0" collapsed="false">
      <c r="A25" s="49" t="n">
        <v>21</v>
      </c>
      <c r="B25" s="50" t="s">
        <v>136</v>
      </c>
      <c r="C25" s="51" t="s">
        <v>138</v>
      </c>
      <c r="D25" s="49" t="s">
        <v>57</v>
      </c>
      <c r="E25" s="49" t="s">
        <v>57</v>
      </c>
      <c r="F25" s="52" t="n">
        <v>8738.44</v>
      </c>
      <c r="G25" s="52" t="n">
        <v>8738.44</v>
      </c>
      <c r="H25" s="52" t="n">
        <f aca="false">F25-G25</f>
        <v>0</v>
      </c>
      <c r="I25" s="53" t="n">
        <f aca="false">IF(G25=0,"",H25/G25)</f>
        <v>0</v>
      </c>
      <c r="J25" s="49" t="s">
        <v>402</v>
      </c>
      <c r="K25" s="51" t="s">
        <v>471</v>
      </c>
      <c r="L25" s="51" t="s">
        <v>466</v>
      </c>
    </row>
    <row r="26" customFormat="false" ht="15" hidden="false" customHeight="false" outlineLevel="0" collapsed="false">
      <c r="A26" s="49" t="n">
        <v>22</v>
      </c>
      <c r="B26" s="50" t="s">
        <v>139</v>
      </c>
      <c r="C26" s="51" t="s">
        <v>141</v>
      </c>
      <c r="D26" s="49" t="s">
        <v>57</v>
      </c>
      <c r="E26" s="49" t="s">
        <v>57</v>
      </c>
      <c r="F26" s="52" t="n">
        <v>8263.86</v>
      </c>
      <c r="G26" s="52" t="n">
        <v>8263.86</v>
      </c>
      <c r="H26" s="52" t="n">
        <f aca="false">F26-G26</f>
        <v>0</v>
      </c>
      <c r="I26" s="53" t="n">
        <f aca="false">IF(G26=0,"",H26/G26)</f>
        <v>0</v>
      </c>
      <c r="J26" s="49" t="s">
        <v>482</v>
      </c>
      <c r="K26" s="51" t="s">
        <v>471</v>
      </c>
      <c r="L26" s="51" t="s">
        <v>466</v>
      </c>
    </row>
    <row r="27" customFormat="false" ht="22.35" hidden="false" customHeight="false" outlineLevel="0" collapsed="false">
      <c r="A27" s="32" t="n">
        <v>23</v>
      </c>
      <c r="B27" s="33" t="s">
        <v>143</v>
      </c>
      <c r="C27" s="34" t="s">
        <v>145</v>
      </c>
      <c r="D27" s="32" t="s">
        <v>81</v>
      </c>
      <c r="E27" s="32" t="s">
        <v>81</v>
      </c>
      <c r="F27" s="35" t="n">
        <v>8043.13</v>
      </c>
      <c r="G27" s="35" t="n">
        <v>9195.68</v>
      </c>
      <c r="H27" s="35" t="n">
        <f aca="false">F27-G27</f>
        <v>-1152.55</v>
      </c>
      <c r="I27" s="54" t="n">
        <f aca="false">IF(G27=0,"",H27/G27)</f>
        <v>-0.125336027351974</v>
      </c>
      <c r="J27" s="32" t="s">
        <v>144</v>
      </c>
      <c r="K27" s="34" t="s">
        <v>483</v>
      </c>
      <c r="L27" s="34" t="s">
        <v>484</v>
      </c>
    </row>
    <row r="28" customFormat="false" ht="15" hidden="false" customHeight="false" outlineLevel="0" collapsed="false">
      <c r="A28" s="49" t="n">
        <v>24</v>
      </c>
      <c r="B28" s="50" t="s">
        <v>149</v>
      </c>
      <c r="C28" s="51" t="s">
        <v>151</v>
      </c>
      <c r="D28" s="49" t="s">
        <v>152</v>
      </c>
      <c r="E28" s="49" t="s">
        <v>152</v>
      </c>
      <c r="F28" s="52" t="n">
        <v>7719.81</v>
      </c>
      <c r="G28" s="52" t="n">
        <v>7719.81</v>
      </c>
      <c r="H28" s="52" t="n">
        <f aca="false">F28-G28</f>
        <v>0</v>
      </c>
      <c r="I28" s="53" t="n">
        <f aca="false">IF(G28=0,"",H28/G28)</f>
        <v>0</v>
      </c>
      <c r="J28" s="49" t="s">
        <v>260</v>
      </c>
      <c r="K28" s="51" t="s">
        <v>485</v>
      </c>
      <c r="L28" s="51" t="s">
        <v>486</v>
      </c>
    </row>
    <row r="29" customFormat="false" ht="15" hidden="false" customHeight="false" outlineLevel="0" collapsed="false">
      <c r="A29" s="49" t="n">
        <v>25</v>
      </c>
      <c r="B29" s="50" t="s">
        <v>156</v>
      </c>
      <c r="C29" s="51" t="s">
        <v>158</v>
      </c>
      <c r="D29" s="49" t="s">
        <v>159</v>
      </c>
      <c r="E29" s="49" t="s">
        <v>487</v>
      </c>
      <c r="F29" s="52" t="n">
        <v>6998.55</v>
      </c>
      <c r="G29" s="52" t="n">
        <v>6882.72</v>
      </c>
      <c r="H29" s="52" t="n">
        <f aca="false">F29-G29</f>
        <v>115.83</v>
      </c>
      <c r="I29" s="53" t="n">
        <f aca="false">IF(G29=0,"",H29/G29)</f>
        <v>0.0168291024478694</v>
      </c>
      <c r="J29" s="49" t="s">
        <v>391</v>
      </c>
      <c r="K29" s="51" t="s">
        <v>488</v>
      </c>
      <c r="L29" s="51" t="s">
        <v>480</v>
      </c>
    </row>
    <row r="30" customFormat="false" ht="15" hidden="false" customHeight="false" outlineLevel="0" collapsed="false">
      <c r="A30" s="49" t="n">
        <v>26</v>
      </c>
      <c r="B30" s="50" t="s">
        <v>162</v>
      </c>
      <c r="C30" s="51" t="s">
        <v>164</v>
      </c>
      <c r="D30" s="49" t="s">
        <v>81</v>
      </c>
      <c r="E30" s="49" t="s">
        <v>81</v>
      </c>
      <c r="F30" s="52" t="n">
        <v>6902.11</v>
      </c>
      <c r="G30" s="52" t="n">
        <v>6829</v>
      </c>
      <c r="H30" s="52" t="n">
        <f aca="false">F30-G30</f>
        <v>73.1099999999997</v>
      </c>
      <c r="I30" s="53" t="n">
        <f aca="false">IF(G30=0,"",H30/G30)</f>
        <v>0.0107058134426709</v>
      </c>
      <c r="J30" s="49" t="s">
        <v>191</v>
      </c>
      <c r="K30" s="51" t="s">
        <v>471</v>
      </c>
      <c r="L30" s="51" t="s">
        <v>472</v>
      </c>
    </row>
    <row r="31" customFormat="false" ht="15" hidden="false" customHeight="false" outlineLevel="0" collapsed="false">
      <c r="A31" s="49" t="n">
        <v>27</v>
      </c>
      <c r="B31" s="50" t="s">
        <v>168</v>
      </c>
      <c r="C31" s="51" t="s">
        <v>170</v>
      </c>
      <c r="D31" s="49" t="s">
        <v>171</v>
      </c>
      <c r="E31" s="49" t="s">
        <v>272</v>
      </c>
      <c r="F31" s="52" t="n">
        <v>6742.54</v>
      </c>
      <c r="G31" s="52" t="n">
        <v>6742.54</v>
      </c>
      <c r="H31" s="52" t="n">
        <f aca="false">F31-G31</f>
        <v>0</v>
      </c>
      <c r="I31" s="53" t="n">
        <f aca="false">IF(G31=0,"",H31/G31)</f>
        <v>0</v>
      </c>
      <c r="J31" s="49" t="s">
        <v>489</v>
      </c>
      <c r="K31" s="51" t="s">
        <v>490</v>
      </c>
      <c r="L31" s="51" t="s">
        <v>480</v>
      </c>
    </row>
    <row r="32" customFormat="false" ht="15" hidden="false" customHeight="false" outlineLevel="0" collapsed="false">
      <c r="A32" s="49" t="n">
        <v>28</v>
      </c>
      <c r="B32" s="50" t="s">
        <v>174</v>
      </c>
      <c r="C32" s="51" t="s">
        <v>176</v>
      </c>
      <c r="D32" s="49" t="s">
        <v>177</v>
      </c>
      <c r="E32" s="49" t="s">
        <v>177</v>
      </c>
      <c r="F32" s="52" t="n">
        <v>6191.78</v>
      </c>
      <c r="G32" s="52" t="n">
        <v>6075.86</v>
      </c>
      <c r="H32" s="52" t="n">
        <f aca="false">F32-G32</f>
        <v>115.92</v>
      </c>
      <c r="I32" s="53" t="n">
        <f aca="false">IF(G32=0,"",H32/G32)</f>
        <v>0.0190787806170649</v>
      </c>
      <c r="J32" s="49" t="s">
        <v>377</v>
      </c>
      <c r="K32" s="51" t="s">
        <v>491</v>
      </c>
      <c r="L32" s="51" t="s">
        <v>480</v>
      </c>
    </row>
    <row r="33" customFormat="false" ht="15" hidden="false" customHeight="false" outlineLevel="0" collapsed="false">
      <c r="A33" s="49" t="n">
        <v>29</v>
      </c>
      <c r="B33" s="50" t="s">
        <v>180</v>
      </c>
      <c r="C33" s="51" t="s">
        <v>182</v>
      </c>
      <c r="D33" s="49" t="s">
        <v>183</v>
      </c>
      <c r="E33" s="49" t="s">
        <v>183</v>
      </c>
      <c r="F33" s="52" t="n">
        <v>4871.44</v>
      </c>
      <c r="G33" s="52" t="n">
        <v>4871.52</v>
      </c>
      <c r="H33" s="52" t="n">
        <f aca="false">F33-G33</f>
        <v>-0.0800000000008367</v>
      </c>
      <c r="I33" s="53" t="n">
        <f aca="false">IF(G33=0,"",H33/G33)</f>
        <v>-1.64219791771022E-005</v>
      </c>
      <c r="J33" s="49" t="s">
        <v>413</v>
      </c>
      <c r="K33" s="51" t="s">
        <v>492</v>
      </c>
      <c r="L33" s="51" t="s">
        <v>493</v>
      </c>
    </row>
    <row r="34" customFormat="false" ht="15" hidden="false" customHeight="false" outlineLevel="0" collapsed="false">
      <c r="A34" s="49" t="n">
        <v>30</v>
      </c>
      <c r="B34" s="50" t="s">
        <v>187</v>
      </c>
      <c r="C34" s="51" t="s">
        <v>189</v>
      </c>
      <c r="D34" s="49" t="s">
        <v>57</v>
      </c>
      <c r="E34" s="49" t="s">
        <v>57</v>
      </c>
      <c r="F34" s="52" t="n">
        <v>4705.3</v>
      </c>
      <c r="G34" s="52" t="n">
        <v>4705.3</v>
      </c>
      <c r="H34" s="52" t="n">
        <f aca="false">F34-G34</f>
        <v>0</v>
      </c>
      <c r="I34" s="53" t="n">
        <f aca="false">IF(G34=0,"",H34/G34)</f>
        <v>0</v>
      </c>
      <c r="J34" s="49" t="s">
        <v>387</v>
      </c>
      <c r="K34" s="51" t="s">
        <v>471</v>
      </c>
      <c r="L34" s="51" t="s">
        <v>466</v>
      </c>
    </row>
    <row r="35" customFormat="false" ht="15" hidden="false" customHeight="false" outlineLevel="0" collapsed="false">
      <c r="A35" s="49" t="n">
        <v>31</v>
      </c>
      <c r="B35" s="50" t="s">
        <v>190</v>
      </c>
      <c r="C35" s="51" t="s">
        <v>192</v>
      </c>
      <c r="D35" s="49" t="s">
        <v>57</v>
      </c>
      <c r="E35" s="49" t="s">
        <v>57</v>
      </c>
      <c r="F35" s="52" t="n">
        <v>4132.98</v>
      </c>
      <c r="G35" s="52" t="n">
        <v>4109.22</v>
      </c>
      <c r="H35" s="52" t="n">
        <f aca="false">F35-G35</f>
        <v>23.7599999999993</v>
      </c>
      <c r="I35" s="53" t="n">
        <f aca="false">IF(G35=0,"",H35/G35)</f>
        <v>0.00578211923430707</v>
      </c>
      <c r="J35" s="49" t="s">
        <v>293</v>
      </c>
      <c r="K35" s="51" t="s">
        <v>471</v>
      </c>
      <c r="L35" s="51" t="s">
        <v>472</v>
      </c>
    </row>
    <row r="36" customFormat="false" ht="15" hidden="false" customHeight="false" outlineLevel="0" collapsed="false">
      <c r="A36" s="49" t="n">
        <v>32</v>
      </c>
      <c r="B36" s="50" t="s">
        <v>195</v>
      </c>
      <c r="C36" s="51" t="s">
        <v>197</v>
      </c>
      <c r="D36" s="49" t="s">
        <v>198</v>
      </c>
      <c r="E36" s="49" t="s">
        <v>198</v>
      </c>
      <c r="F36" s="52" t="n">
        <v>4084.19</v>
      </c>
      <c r="G36" s="52" t="n">
        <v>4012.14</v>
      </c>
      <c r="H36" s="52" t="n">
        <f aca="false">F36-G36</f>
        <v>72.0500000000002</v>
      </c>
      <c r="I36" s="53" t="n">
        <f aca="false">IF(G36=0,"",H36/G36)</f>
        <v>0.0179579974776554</v>
      </c>
      <c r="J36" s="49" t="s">
        <v>212</v>
      </c>
      <c r="K36" s="51" t="s">
        <v>494</v>
      </c>
      <c r="L36" s="51" t="s">
        <v>480</v>
      </c>
    </row>
    <row r="37" customFormat="false" ht="15" hidden="false" customHeight="false" outlineLevel="0" collapsed="false">
      <c r="A37" s="49" t="n">
        <v>33</v>
      </c>
      <c r="B37" s="50" t="s">
        <v>201</v>
      </c>
      <c r="C37" s="51" t="s">
        <v>203</v>
      </c>
      <c r="D37" s="49" t="s">
        <v>57</v>
      </c>
      <c r="E37" s="49" t="s">
        <v>57</v>
      </c>
      <c r="F37" s="52" t="n">
        <v>3822.3</v>
      </c>
      <c r="G37" s="52" t="n">
        <v>3822.3</v>
      </c>
      <c r="H37" s="52" t="n">
        <f aca="false">F37-G37</f>
        <v>0</v>
      </c>
      <c r="I37" s="53" t="n">
        <f aca="false">IF(G37=0,"",H37/G37)</f>
        <v>0</v>
      </c>
      <c r="J37" s="49" t="s">
        <v>330</v>
      </c>
      <c r="K37" s="51" t="s">
        <v>471</v>
      </c>
      <c r="L37" s="51" t="s">
        <v>495</v>
      </c>
    </row>
    <row r="38" customFormat="false" ht="15" hidden="false" customHeight="false" outlineLevel="0" collapsed="false">
      <c r="A38" s="49" t="n">
        <v>34</v>
      </c>
      <c r="B38" s="50" t="s">
        <v>205</v>
      </c>
      <c r="C38" s="51" t="s">
        <v>207</v>
      </c>
      <c r="D38" s="49" t="s">
        <v>208</v>
      </c>
      <c r="E38" s="49" t="s">
        <v>496</v>
      </c>
      <c r="F38" s="52" t="n">
        <v>3818.65</v>
      </c>
      <c r="G38" s="52" t="n">
        <v>3746.04</v>
      </c>
      <c r="H38" s="52" t="n">
        <f aca="false">F38-G38</f>
        <v>72.6100000000001</v>
      </c>
      <c r="I38" s="53" t="n">
        <f aca="false">IF(G38=0,"",H38/G38)</f>
        <v>0.0193831352574986</v>
      </c>
      <c r="J38" s="49" t="s">
        <v>227</v>
      </c>
      <c r="K38" s="51" t="s">
        <v>497</v>
      </c>
      <c r="L38" s="51" t="s">
        <v>480</v>
      </c>
    </row>
    <row r="39" customFormat="false" ht="15" hidden="false" customHeight="false" outlineLevel="0" collapsed="false">
      <c r="A39" s="49" t="n">
        <v>35</v>
      </c>
      <c r="B39" s="50" t="s">
        <v>211</v>
      </c>
      <c r="C39" s="51" t="s">
        <v>213</v>
      </c>
      <c r="D39" s="49" t="s">
        <v>214</v>
      </c>
      <c r="E39" s="49" t="s">
        <v>214</v>
      </c>
      <c r="F39" s="52" t="n">
        <v>3658.08</v>
      </c>
      <c r="G39" s="52" t="n">
        <v>3592.32</v>
      </c>
      <c r="H39" s="52" t="n">
        <f aca="false">F39-G39</f>
        <v>65.7599999999998</v>
      </c>
      <c r="I39" s="53" t="n">
        <f aca="false">IF(G39=0,"",H39/G39)</f>
        <v>0.018305718866916</v>
      </c>
      <c r="J39" s="49" t="s">
        <v>270</v>
      </c>
      <c r="K39" s="51" t="s">
        <v>498</v>
      </c>
      <c r="L39" s="51" t="s">
        <v>480</v>
      </c>
    </row>
    <row r="40" customFormat="false" ht="15" hidden="false" customHeight="false" outlineLevel="0" collapsed="false">
      <c r="A40" s="49" t="n">
        <v>36</v>
      </c>
      <c r="B40" s="50" t="s">
        <v>216</v>
      </c>
      <c r="C40" s="51" t="s">
        <v>218</v>
      </c>
      <c r="D40" s="49" t="s">
        <v>57</v>
      </c>
      <c r="E40" s="49" t="s">
        <v>57</v>
      </c>
      <c r="F40" s="52" t="n">
        <v>3299.14</v>
      </c>
      <c r="G40" s="52" t="n">
        <v>3175.7</v>
      </c>
      <c r="H40" s="52" t="n">
        <f aca="false">F40-G40</f>
        <v>123.44</v>
      </c>
      <c r="I40" s="53" t="n">
        <f aca="false">IF(G40=0,"",H40/G40)</f>
        <v>0.038870170356142</v>
      </c>
      <c r="J40" s="49" t="s">
        <v>352</v>
      </c>
      <c r="K40" s="51" t="s">
        <v>471</v>
      </c>
      <c r="L40" s="51" t="s">
        <v>472</v>
      </c>
    </row>
    <row r="41" customFormat="false" ht="15" hidden="false" customHeight="false" outlineLevel="0" collapsed="false">
      <c r="A41" s="49" t="n">
        <v>37</v>
      </c>
      <c r="B41" s="50" t="s">
        <v>221</v>
      </c>
      <c r="C41" s="51" t="s">
        <v>223</v>
      </c>
      <c r="D41" s="49" t="s">
        <v>57</v>
      </c>
      <c r="E41" s="49" t="s">
        <v>57</v>
      </c>
      <c r="F41" s="52" t="n">
        <v>3144.44</v>
      </c>
      <c r="G41" s="52" t="n">
        <v>3204.08</v>
      </c>
      <c r="H41" s="52" t="n">
        <f aca="false">F41-G41</f>
        <v>-59.6399999999999</v>
      </c>
      <c r="I41" s="53" t="n">
        <f aca="false">IF(G41=0,"",H41/G41)</f>
        <v>-0.0186137674465057</v>
      </c>
      <c r="J41" s="49" t="s">
        <v>499</v>
      </c>
      <c r="K41" s="51" t="s">
        <v>500</v>
      </c>
      <c r="L41" s="51" t="s">
        <v>480</v>
      </c>
    </row>
    <row r="42" customFormat="false" ht="15" hidden="false" customHeight="false" outlineLevel="0" collapsed="false">
      <c r="A42" s="49" t="n">
        <v>38</v>
      </c>
      <c r="B42" s="50" t="s">
        <v>226</v>
      </c>
      <c r="C42" s="51" t="s">
        <v>228</v>
      </c>
      <c r="D42" s="49" t="s">
        <v>229</v>
      </c>
      <c r="E42" s="49" t="s">
        <v>501</v>
      </c>
      <c r="F42" s="52" t="n">
        <v>2957.38</v>
      </c>
      <c r="G42" s="52" t="n">
        <v>2901.77</v>
      </c>
      <c r="H42" s="52" t="n">
        <f aca="false">F42-G42</f>
        <v>55.6100000000001</v>
      </c>
      <c r="I42" s="53" t="n">
        <f aca="false">IF(G42=0,"",H42/G42)</f>
        <v>0.0191641653197876</v>
      </c>
      <c r="J42" s="49" t="s">
        <v>339</v>
      </c>
      <c r="K42" s="51" t="s">
        <v>502</v>
      </c>
      <c r="L42" s="51" t="s">
        <v>480</v>
      </c>
    </row>
    <row r="43" customFormat="false" ht="22.35" hidden="false" customHeight="false" outlineLevel="0" collapsed="false">
      <c r="A43" s="32" t="n">
        <v>39</v>
      </c>
      <c r="B43" s="33" t="s">
        <v>232</v>
      </c>
      <c r="C43" s="34" t="s">
        <v>234</v>
      </c>
      <c r="D43" s="32" t="s">
        <v>235</v>
      </c>
      <c r="E43" s="32" t="s">
        <v>235</v>
      </c>
      <c r="F43" s="35" t="n">
        <v>2815.68</v>
      </c>
      <c r="G43" s="35" t="n">
        <v>2947.44</v>
      </c>
      <c r="H43" s="35" t="n">
        <f aca="false">F43-G43</f>
        <v>-131.76</v>
      </c>
      <c r="I43" s="54" t="n">
        <f aca="false">IF(G43=0,"",H43/G43)</f>
        <v>-0.0447032000651414</v>
      </c>
      <c r="J43" s="32" t="s">
        <v>503</v>
      </c>
      <c r="K43" s="34" t="s">
        <v>504</v>
      </c>
      <c r="L43" s="34" t="s">
        <v>505</v>
      </c>
    </row>
    <row r="44" customFormat="false" ht="15" hidden="false" customHeight="false" outlineLevel="0" collapsed="false">
      <c r="A44" s="49" t="n">
        <v>40</v>
      </c>
      <c r="B44" s="50" t="s">
        <v>239</v>
      </c>
      <c r="C44" s="51" t="s">
        <v>241</v>
      </c>
      <c r="D44" s="49" t="s">
        <v>242</v>
      </c>
      <c r="E44" s="49" t="s">
        <v>242</v>
      </c>
      <c r="F44" s="52" t="n">
        <v>2742.08</v>
      </c>
      <c r="G44" s="52" t="n">
        <v>2699.4</v>
      </c>
      <c r="H44" s="52" t="n">
        <f aca="false">F44-G44</f>
        <v>42.6799999999998</v>
      </c>
      <c r="I44" s="53" t="n">
        <f aca="false">IF(G44=0,"",H44/G44)</f>
        <v>0.0158109209453952</v>
      </c>
      <c r="J44" s="49" t="s">
        <v>343</v>
      </c>
      <c r="K44" s="51" t="s">
        <v>506</v>
      </c>
      <c r="L44" s="51" t="s">
        <v>480</v>
      </c>
    </row>
    <row r="45" customFormat="false" ht="15" hidden="false" customHeight="false" outlineLevel="0" collapsed="false">
      <c r="A45" s="49" t="n">
        <v>41</v>
      </c>
      <c r="B45" s="50" t="s">
        <v>244</v>
      </c>
      <c r="C45" s="51" t="s">
        <v>246</v>
      </c>
      <c r="D45" s="49" t="s">
        <v>247</v>
      </c>
      <c r="E45" s="49" t="s">
        <v>247</v>
      </c>
      <c r="F45" s="52" t="n">
        <v>2719.5</v>
      </c>
      <c r="G45" s="52" t="n">
        <v>2719.5</v>
      </c>
      <c r="H45" s="52" t="n">
        <f aca="false">F45-G45</f>
        <v>0</v>
      </c>
      <c r="I45" s="53" t="n">
        <f aca="false">IF(G45=0,"",H45/G45)</f>
        <v>0</v>
      </c>
      <c r="J45" s="49" t="s">
        <v>324</v>
      </c>
      <c r="K45" s="51" t="s">
        <v>507</v>
      </c>
      <c r="L45" s="51" t="s">
        <v>480</v>
      </c>
    </row>
    <row r="46" customFormat="false" ht="15" hidden="false" customHeight="false" outlineLevel="0" collapsed="false">
      <c r="A46" s="49" t="n">
        <v>42</v>
      </c>
      <c r="B46" s="50" t="s">
        <v>250</v>
      </c>
      <c r="C46" s="51" t="s">
        <v>252</v>
      </c>
      <c r="D46" s="49" t="s">
        <v>62</v>
      </c>
      <c r="E46" s="49" t="s">
        <v>62</v>
      </c>
      <c r="F46" s="52" t="n">
        <v>2402.4</v>
      </c>
      <c r="G46" s="52" t="n">
        <v>2377.2</v>
      </c>
      <c r="H46" s="52" t="n">
        <f aca="false">F46-G46</f>
        <v>25.2000000000003</v>
      </c>
      <c r="I46" s="53" t="n">
        <f aca="false">IF(G46=0,"",H46/G46)</f>
        <v>0.010600706713781</v>
      </c>
      <c r="J46" s="49" t="s">
        <v>365</v>
      </c>
      <c r="K46" s="51" t="s">
        <v>508</v>
      </c>
      <c r="L46" s="51" t="s">
        <v>480</v>
      </c>
    </row>
    <row r="47" customFormat="false" ht="15" hidden="false" customHeight="false" outlineLevel="0" collapsed="false">
      <c r="A47" s="49" t="n">
        <v>43</v>
      </c>
      <c r="B47" s="50" t="s">
        <v>255</v>
      </c>
      <c r="C47" s="51" t="s">
        <v>257</v>
      </c>
      <c r="D47" s="49" t="s">
        <v>62</v>
      </c>
      <c r="E47" s="49" t="s">
        <v>62</v>
      </c>
      <c r="F47" s="52" t="n">
        <v>2377.2</v>
      </c>
      <c r="G47" s="52" t="n">
        <v>2347.8</v>
      </c>
      <c r="H47" s="52" t="n">
        <f aca="false">F47-G47</f>
        <v>29.3999999999996</v>
      </c>
      <c r="I47" s="53" t="n">
        <f aca="false">IF(G47=0,"",H47/G47)</f>
        <v>0.0125223613595705</v>
      </c>
      <c r="J47" s="49" t="s">
        <v>357</v>
      </c>
      <c r="K47" s="51" t="s">
        <v>509</v>
      </c>
      <c r="L47" s="51" t="s">
        <v>480</v>
      </c>
    </row>
    <row r="48" customFormat="false" ht="15" hidden="false" customHeight="false" outlineLevel="0" collapsed="false">
      <c r="A48" s="49" t="n">
        <v>44</v>
      </c>
      <c r="B48" s="50" t="s">
        <v>259</v>
      </c>
      <c r="C48" s="51" t="s">
        <v>261</v>
      </c>
      <c r="D48" s="49" t="s">
        <v>57</v>
      </c>
      <c r="E48" s="49" t="s">
        <v>57</v>
      </c>
      <c r="F48" s="52" t="n">
        <v>2248.88</v>
      </c>
      <c r="G48" s="52" t="n">
        <v>2184.74</v>
      </c>
      <c r="H48" s="52" t="n">
        <f aca="false">F48-G48</f>
        <v>64.1400000000003</v>
      </c>
      <c r="I48" s="53" t="n">
        <f aca="false">IF(G48=0,"",H48/G48)</f>
        <v>0.0293581844979267</v>
      </c>
      <c r="J48" s="49" t="s">
        <v>510</v>
      </c>
      <c r="K48" s="51" t="s">
        <v>476</v>
      </c>
      <c r="L48" s="51" t="s">
        <v>472</v>
      </c>
    </row>
    <row r="49" customFormat="false" ht="15" hidden="false" customHeight="false" outlineLevel="0" collapsed="false">
      <c r="A49" s="49" t="n">
        <v>45</v>
      </c>
      <c r="B49" s="50" t="s">
        <v>264</v>
      </c>
      <c r="C49" s="51" t="s">
        <v>266</v>
      </c>
      <c r="D49" s="49" t="s">
        <v>57</v>
      </c>
      <c r="E49" s="49" t="s">
        <v>57</v>
      </c>
      <c r="F49" s="52" t="n">
        <v>2188.26</v>
      </c>
      <c r="G49" s="52" t="n">
        <v>2229.18</v>
      </c>
      <c r="H49" s="52" t="n">
        <f aca="false">F49-G49</f>
        <v>-40.9199999999996</v>
      </c>
      <c r="I49" s="53" t="n">
        <f aca="false">IF(G49=0,"",H49/G49)</f>
        <v>-0.0183565257179768</v>
      </c>
      <c r="J49" s="49" t="s">
        <v>511</v>
      </c>
      <c r="K49" s="51" t="s">
        <v>512</v>
      </c>
      <c r="L49" s="51" t="s">
        <v>480</v>
      </c>
    </row>
    <row r="50" customFormat="false" ht="15" hidden="false" customHeight="false" outlineLevel="0" collapsed="false">
      <c r="A50" s="49" t="n">
        <v>46</v>
      </c>
      <c r="B50" s="50" t="s">
        <v>269</v>
      </c>
      <c r="C50" s="51" t="s">
        <v>271</v>
      </c>
      <c r="D50" s="49" t="s">
        <v>272</v>
      </c>
      <c r="E50" s="49" t="s">
        <v>272</v>
      </c>
      <c r="F50" s="52" t="n">
        <v>2034.22</v>
      </c>
      <c r="G50" s="52" t="n">
        <v>2001.24</v>
      </c>
      <c r="H50" s="52" t="n">
        <f aca="false">F50-G50</f>
        <v>32.98</v>
      </c>
      <c r="I50" s="53" t="n">
        <f aca="false">IF(G50=0,"",H50/G50)</f>
        <v>0.0164797825348284</v>
      </c>
      <c r="J50" s="49" t="s">
        <v>382</v>
      </c>
      <c r="K50" s="51" t="s">
        <v>513</v>
      </c>
      <c r="L50" s="51" t="s">
        <v>480</v>
      </c>
    </row>
    <row r="51" customFormat="false" ht="15" hidden="false" customHeight="false" outlineLevel="0" collapsed="false">
      <c r="A51" s="49" t="n">
        <v>47</v>
      </c>
      <c r="B51" s="50" t="s">
        <v>274</v>
      </c>
      <c r="C51" s="51" t="s">
        <v>276</v>
      </c>
      <c r="D51" s="49" t="s">
        <v>277</v>
      </c>
      <c r="E51" s="49" t="s">
        <v>277</v>
      </c>
      <c r="F51" s="52" t="n">
        <v>1933.4</v>
      </c>
      <c r="G51" s="52" t="n">
        <v>1933.2</v>
      </c>
      <c r="H51" s="52" t="n">
        <f aca="false">F51-G51</f>
        <v>0.200000000000045</v>
      </c>
      <c r="I51" s="53" t="n">
        <f aca="false">IF(G51=0,"",H51/G51)</f>
        <v>0.000103455410718004</v>
      </c>
      <c r="J51" s="49" t="s">
        <v>348</v>
      </c>
      <c r="K51" s="51" t="s">
        <v>514</v>
      </c>
      <c r="L51" s="51" t="s">
        <v>480</v>
      </c>
    </row>
    <row r="52" customFormat="false" ht="15" hidden="false" customHeight="false" outlineLevel="0" collapsed="false">
      <c r="A52" s="49" t="n">
        <v>48</v>
      </c>
      <c r="B52" s="50" t="s">
        <v>280</v>
      </c>
      <c r="C52" s="51" t="s">
        <v>282</v>
      </c>
      <c r="D52" s="49" t="s">
        <v>81</v>
      </c>
      <c r="E52" s="49" t="s">
        <v>81</v>
      </c>
      <c r="F52" s="52" t="n">
        <v>1911.15</v>
      </c>
      <c r="G52" s="52" t="n">
        <v>1911.15</v>
      </c>
      <c r="H52" s="52" t="n">
        <f aca="false">F52-G52</f>
        <v>0</v>
      </c>
      <c r="I52" s="53" t="n">
        <f aca="false">IF(G52=0,"",H52/G52)</f>
        <v>0</v>
      </c>
      <c r="J52" s="49" t="s">
        <v>285</v>
      </c>
      <c r="K52" s="51" t="s">
        <v>471</v>
      </c>
      <c r="L52" s="51" t="s">
        <v>466</v>
      </c>
    </row>
    <row r="53" customFormat="false" ht="15" hidden="false" customHeight="false" outlineLevel="0" collapsed="false">
      <c r="A53" s="49" t="n">
        <v>49</v>
      </c>
      <c r="B53" s="50" t="s">
        <v>284</v>
      </c>
      <c r="C53" s="51" t="s">
        <v>286</v>
      </c>
      <c r="D53" s="49" t="s">
        <v>81</v>
      </c>
      <c r="E53" s="49" t="s">
        <v>81</v>
      </c>
      <c r="F53" s="52" t="n">
        <v>1911.15</v>
      </c>
      <c r="G53" s="52" t="n">
        <v>1911.15</v>
      </c>
      <c r="H53" s="52" t="n">
        <f aca="false">F53-G53</f>
        <v>0</v>
      </c>
      <c r="I53" s="53" t="n">
        <f aca="false">IF(G53=0,"",H53/G53)</f>
        <v>0</v>
      </c>
      <c r="J53" s="49" t="s">
        <v>202</v>
      </c>
      <c r="K53" s="51" t="s">
        <v>471</v>
      </c>
      <c r="L53" s="51" t="s">
        <v>466</v>
      </c>
    </row>
    <row r="54" customFormat="false" ht="15" hidden="false" customHeight="false" outlineLevel="0" collapsed="false">
      <c r="A54" s="49" t="n">
        <v>50</v>
      </c>
      <c r="B54" s="50" t="s">
        <v>287</v>
      </c>
      <c r="C54" s="51" t="s">
        <v>289</v>
      </c>
      <c r="D54" s="49" t="s">
        <v>57</v>
      </c>
      <c r="E54" s="49" t="s">
        <v>57</v>
      </c>
      <c r="F54" s="52" t="n">
        <v>1483.34</v>
      </c>
      <c r="G54" s="52" t="n">
        <v>1511.2</v>
      </c>
      <c r="H54" s="52" t="n">
        <f aca="false">F54-G54</f>
        <v>-27.8600000000001</v>
      </c>
      <c r="I54" s="53" t="n">
        <f aca="false">IF(G54=0,"",H54/G54)</f>
        <v>-0.0184356802541028</v>
      </c>
      <c r="J54" s="49" t="s">
        <v>515</v>
      </c>
      <c r="K54" s="51" t="s">
        <v>516</v>
      </c>
      <c r="L54" s="51" t="s">
        <v>480</v>
      </c>
    </row>
    <row r="55" customFormat="false" ht="15" hidden="false" customHeight="false" outlineLevel="0" collapsed="false">
      <c r="A55" s="49" t="n">
        <v>51</v>
      </c>
      <c r="B55" s="50" t="s">
        <v>292</v>
      </c>
      <c r="C55" s="51" t="s">
        <v>294</v>
      </c>
      <c r="D55" s="49" t="s">
        <v>57</v>
      </c>
      <c r="E55" s="49" t="s">
        <v>57</v>
      </c>
      <c r="F55" s="52" t="n">
        <v>1373.52</v>
      </c>
      <c r="G55" s="52" t="n">
        <v>1373.52</v>
      </c>
      <c r="H55" s="52" t="n">
        <f aca="false">F55-G55</f>
        <v>0</v>
      </c>
      <c r="I55" s="53" t="n">
        <f aca="false">IF(G55=0,"",H55/G55)</f>
        <v>0</v>
      </c>
      <c r="J55" s="49" t="s">
        <v>517</v>
      </c>
      <c r="K55" s="51" t="s">
        <v>518</v>
      </c>
      <c r="L55" s="51" t="s">
        <v>486</v>
      </c>
    </row>
    <row r="56" customFormat="false" ht="15" hidden="false" customHeight="false" outlineLevel="0" collapsed="false">
      <c r="A56" s="49" t="n">
        <v>52</v>
      </c>
      <c r="B56" s="50" t="s">
        <v>298</v>
      </c>
      <c r="C56" s="51" t="s">
        <v>300</v>
      </c>
      <c r="D56" s="49" t="s">
        <v>301</v>
      </c>
      <c r="E56" s="49" t="s">
        <v>301</v>
      </c>
      <c r="F56" s="52" t="n">
        <v>1340.4</v>
      </c>
      <c r="G56" s="52" t="n">
        <v>1317.04</v>
      </c>
      <c r="H56" s="52" t="n">
        <f aca="false">F56-G56</f>
        <v>23.3600000000001</v>
      </c>
      <c r="I56" s="53" t="n">
        <f aca="false">IF(G56=0,"",H56/G56)</f>
        <v>0.0177367429994534</v>
      </c>
      <c r="J56" s="49" t="s">
        <v>251</v>
      </c>
      <c r="K56" s="51" t="s">
        <v>519</v>
      </c>
      <c r="L56" s="51" t="s">
        <v>480</v>
      </c>
    </row>
    <row r="57" customFormat="false" ht="15" hidden="false" customHeight="false" outlineLevel="0" collapsed="false">
      <c r="A57" s="49" t="n">
        <v>53</v>
      </c>
      <c r="B57" s="50" t="s">
        <v>303</v>
      </c>
      <c r="C57" s="51" t="s">
        <v>305</v>
      </c>
      <c r="D57" s="49" t="s">
        <v>62</v>
      </c>
      <c r="E57" s="49" t="s">
        <v>62</v>
      </c>
      <c r="F57" s="52" t="n">
        <v>1232</v>
      </c>
      <c r="G57" s="52" t="n">
        <v>1227.8</v>
      </c>
      <c r="H57" s="52" t="n">
        <f aca="false">F57-G57</f>
        <v>4.20000000000005</v>
      </c>
      <c r="I57" s="53" t="n">
        <f aca="false">IF(G57=0,"",H57/G57)</f>
        <v>0.00342075256556446</v>
      </c>
      <c r="J57" s="49" t="s">
        <v>181</v>
      </c>
      <c r="K57" s="51" t="s">
        <v>520</v>
      </c>
      <c r="L57" s="51" t="s">
        <v>480</v>
      </c>
    </row>
    <row r="58" customFormat="false" ht="15" hidden="false" customHeight="false" outlineLevel="0" collapsed="false">
      <c r="A58" s="49" t="n">
        <v>54</v>
      </c>
      <c r="B58" s="50" t="s">
        <v>307</v>
      </c>
      <c r="C58" s="51" t="s">
        <v>309</v>
      </c>
      <c r="D58" s="49" t="s">
        <v>81</v>
      </c>
      <c r="E58" s="49" t="s">
        <v>81</v>
      </c>
      <c r="F58" s="52" t="n">
        <v>1011.43</v>
      </c>
      <c r="G58" s="52" t="n">
        <v>999.56</v>
      </c>
      <c r="H58" s="52" t="n">
        <f aca="false">F58-G58</f>
        <v>11.87</v>
      </c>
      <c r="I58" s="53" t="n">
        <f aca="false">IF(G58=0,"",H58/G58)</f>
        <v>0.0118752250990436</v>
      </c>
      <c r="J58" s="49" t="s">
        <v>169</v>
      </c>
      <c r="K58" s="51" t="s">
        <v>476</v>
      </c>
      <c r="L58" s="51" t="s">
        <v>472</v>
      </c>
    </row>
    <row r="59" customFormat="false" ht="15" hidden="false" customHeight="false" outlineLevel="0" collapsed="false">
      <c r="A59" s="49" t="n">
        <v>55</v>
      </c>
      <c r="B59" s="50" t="s">
        <v>313</v>
      </c>
      <c r="C59" s="51" t="s">
        <v>315</v>
      </c>
      <c r="D59" s="49" t="s">
        <v>152</v>
      </c>
      <c r="E59" s="49" t="s">
        <v>152</v>
      </c>
      <c r="F59" s="52" t="n">
        <v>986.01</v>
      </c>
      <c r="G59" s="52" t="n">
        <v>969.66</v>
      </c>
      <c r="H59" s="52" t="n">
        <f aca="false">F59-G59</f>
        <v>16.35</v>
      </c>
      <c r="I59" s="53" t="n">
        <f aca="false">IF(G59=0,"",H59/G59)</f>
        <v>0.0168615803477508</v>
      </c>
      <c r="J59" s="49" t="s">
        <v>240</v>
      </c>
      <c r="K59" s="51" t="s">
        <v>521</v>
      </c>
      <c r="L59" s="51" t="s">
        <v>480</v>
      </c>
    </row>
    <row r="60" customFormat="false" ht="15" hidden="false" customHeight="false" outlineLevel="0" collapsed="false">
      <c r="A60" s="49" t="n">
        <v>56</v>
      </c>
      <c r="B60" s="50" t="s">
        <v>317</v>
      </c>
      <c r="C60" s="51" t="s">
        <v>319</v>
      </c>
      <c r="D60" s="49" t="s">
        <v>320</v>
      </c>
      <c r="E60" s="49" t="s">
        <v>320</v>
      </c>
      <c r="F60" s="52" t="n">
        <v>948.42</v>
      </c>
      <c r="G60" s="52" t="n">
        <v>948.36</v>
      </c>
      <c r="H60" s="52" t="n">
        <f aca="false">F60-G60</f>
        <v>0.0599999999999454</v>
      </c>
      <c r="I60" s="53" t="n">
        <f aca="false">IF(G60=0,"",H60/G60)</f>
        <v>6.3267113754213E-005</v>
      </c>
      <c r="J60" s="49" t="s">
        <v>335</v>
      </c>
      <c r="K60" s="51" t="s">
        <v>522</v>
      </c>
      <c r="L60" s="51" t="s">
        <v>480</v>
      </c>
    </row>
    <row r="61" customFormat="false" ht="15" hidden="false" customHeight="false" outlineLevel="0" collapsed="false">
      <c r="A61" s="49" t="n">
        <v>57</v>
      </c>
      <c r="B61" s="50" t="s">
        <v>323</v>
      </c>
      <c r="C61" s="51" t="s">
        <v>325</v>
      </c>
      <c r="D61" s="49" t="s">
        <v>301</v>
      </c>
      <c r="E61" s="49" t="s">
        <v>301</v>
      </c>
      <c r="F61" s="52" t="n">
        <v>947.92</v>
      </c>
      <c r="G61" s="52" t="n">
        <v>947.96</v>
      </c>
      <c r="H61" s="52" t="n">
        <f aca="false">F61-G61</f>
        <v>-0.0400000000000773</v>
      </c>
      <c r="I61" s="53" t="n">
        <f aca="false">IF(G61=0,"",H61/G61)</f>
        <v>-4.21958732436783E-005</v>
      </c>
      <c r="J61" s="49" t="s">
        <v>275</v>
      </c>
      <c r="K61" s="51" t="s">
        <v>523</v>
      </c>
      <c r="L61" s="51" t="s">
        <v>493</v>
      </c>
    </row>
    <row r="62" customFormat="false" ht="15" hidden="false" customHeight="false" outlineLevel="0" collapsed="false">
      <c r="A62" s="49" t="n">
        <v>58</v>
      </c>
      <c r="B62" s="50" t="s">
        <v>329</v>
      </c>
      <c r="C62" s="51" t="s">
        <v>331</v>
      </c>
      <c r="D62" s="49" t="s">
        <v>152</v>
      </c>
      <c r="E62" s="49" t="s">
        <v>152</v>
      </c>
      <c r="F62" s="52" t="n">
        <v>802.89</v>
      </c>
      <c r="G62" s="52" t="n">
        <v>764.4</v>
      </c>
      <c r="H62" s="52" t="n">
        <f aca="false">F62-G62</f>
        <v>38.49</v>
      </c>
      <c r="I62" s="53" t="n">
        <f aca="false">IF(G62=0,"",H62/G62)</f>
        <v>0.0503532182103611</v>
      </c>
      <c r="J62" s="49" t="s">
        <v>524</v>
      </c>
      <c r="K62" s="51" t="s">
        <v>476</v>
      </c>
      <c r="L62" s="51" t="s">
        <v>472</v>
      </c>
    </row>
    <row r="63" customFormat="false" ht="15" hidden="false" customHeight="false" outlineLevel="0" collapsed="false">
      <c r="A63" s="49" t="n">
        <v>59</v>
      </c>
      <c r="B63" s="50" t="s">
        <v>334</v>
      </c>
      <c r="C63" s="51" t="s">
        <v>336</v>
      </c>
      <c r="D63" s="49" t="s">
        <v>301</v>
      </c>
      <c r="E63" s="49" t="s">
        <v>301</v>
      </c>
      <c r="F63" s="52" t="n">
        <v>686.04</v>
      </c>
      <c r="G63" s="52" t="n">
        <v>686</v>
      </c>
      <c r="H63" s="52" t="n">
        <f aca="false">F63-G63</f>
        <v>0.0399999999999636</v>
      </c>
      <c r="I63" s="53" t="n">
        <f aca="false">IF(G63=0,"",H63/G63)</f>
        <v>5.83090379008216E-005</v>
      </c>
      <c r="J63" s="49" t="s">
        <v>396</v>
      </c>
      <c r="K63" s="51" t="s">
        <v>525</v>
      </c>
      <c r="L63" s="51" t="s">
        <v>480</v>
      </c>
    </row>
    <row r="64" customFormat="false" ht="15" hidden="false" customHeight="false" outlineLevel="0" collapsed="false">
      <c r="A64" s="49" t="n">
        <v>60</v>
      </c>
      <c r="B64" s="50" t="s">
        <v>338</v>
      </c>
      <c r="C64" s="51" t="s">
        <v>340</v>
      </c>
      <c r="D64" s="49" t="s">
        <v>171</v>
      </c>
      <c r="E64" s="49" t="s">
        <v>272</v>
      </c>
      <c r="F64" s="52" t="n">
        <v>584.8</v>
      </c>
      <c r="G64" s="52" t="n">
        <v>580.04</v>
      </c>
      <c r="H64" s="52" t="n">
        <f aca="false">F64-G64</f>
        <v>4.75999999999999</v>
      </c>
      <c r="I64" s="53" t="n">
        <f aca="false">IF(G64=0,"",H64/G64)</f>
        <v>0.00820633059788979</v>
      </c>
      <c r="J64" s="49" t="s">
        <v>417</v>
      </c>
      <c r="K64" s="51" t="s">
        <v>526</v>
      </c>
      <c r="L64" s="51" t="s">
        <v>480</v>
      </c>
    </row>
    <row r="65" customFormat="false" ht="15" hidden="false" customHeight="false" outlineLevel="0" collapsed="false">
      <c r="A65" s="49" t="n">
        <v>61</v>
      </c>
      <c r="B65" s="50" t="s">
        <v>342</v>
      </c>
      <c r="C65" s="51" t="s">
        <v>344</v>
      </c>
      <c r="D65" s="49" t="s">
        <v>345</v>
      </c>
      <c r="E65" s="49" t="s">
        <v>345</v>
      </c>
      <c r="F65" s="52" t="n">
        <v>503.86</v>
      </c>
      <c r="G65" s="52" t="n">
        <v>496.37</v>
      </c>
      <c r="H65" s="52" t="n">
        <f aca="false">F65-G65</f>
        <v>7.49000000000001</v>
      </c>
      <c r="I65" s="53" t="n">
        <f aca="false">IF(G65=0,"",H65/G65)</f>
        <v>0.0150895501339727</v>
      </c>
      <c r="J65" s="49" t="s">
        <v>120</v>
      </c>
      <c r="K65" s="51" t="s">
        <v>527</v>
      </c>
      <c r="L65" s="51" t="s">
        <v>480</v>
      </c>
    </row>
    <row r="66" customFormat="false" ht="15" hidden="false" customHeight="false" outlineLevel="0" collapsed="false">
      <c r="A66" s="49" t="n">
        <v>62</v>
      </c>
      <c r="B66" s="50" t="s">
        <v>347</v>
      </c>
      <c r="C66" s="51" t="s">
        <v>349</v>
      </c>
      <c r="D66" s="49" t="s">
        <v>301</v>
      </c>
      <c r="E66" s="49" t="s">
        <v>301</v>
      </c>
      <c r="F66" s="52" t="n">
        <v>441.64</v>
      </c>
      <c r="G66" s="52" t="n">
        <v>441.6</v>
      </c>
      <c r="H66" s="52" t="n">
        <f aca="false">F66-G66</f>
        <v>0.0399999999999636</v>
      </c>
      <c r="I66" s="53" t="n">
        <f aca="false">IF(G66=0,"",H66/G66)</f>
        <v>9.05797101448452E-005</v>
      </c>
      <c r="J66" s="49" t="s">
        <v>318</v>
      </c>
      <c r="K66" s="51" t="s">
        <v>528</v>
      </c>
      <c r="L66" s="51" t="s">
        <v>480</v>
      </c>
    </row>
    <row r="67" customFormat="false" ht="15" hidden="false" customHeight="false" outlineLevel="0" collapsed="false">
      <c r="A67" s="49" t="n">
        <v>63</v>
      </c>
      <c r="B67" s="50" t="s">
        <v>351</v>
      </c>
      <c r="C67" s="51" t="s">
        <v>353</v>
      </c>
      <c r="D67" s="49" t="s">
        <v>57</v>
      </c>
      <c r="E67" s="49" t="s">
        <v>57</v>
      </c>
      <c r="F67" s="52" t="n">
        <v>390.56</v>
      </c>
      <c r="G67" s="52" t="n">
        <v>390.56</v>
      </c>
      <c r="H67" s="52" t="n">
        <f aca="false">F67-G67</f>
        <v>0</v>
      </c>
      <c r="I67" s="53" t="n">
        <f aca="false">IF(G67=0,"",H67/G67)</f>
        <v>0</v>
      </c>
      <c r="J67" s="49" t="s">
        <v>150</v>
      </c>
      <c r="K67" s="51" t="s">
        <v>471</v>
      </c>
      <c r="L67" s="51" t="s">
        <v>529</v>
      </c>
    </row>
    <row r="68" customFormat="false" ht="15" hidden="false" customHeight="false" outlineLevel="0" collapsed="false">
      <c r="A68" s="49" t="n">
        <v>64</v>
      </c>
      <c r="B68" s="50" t="s">
        <v>356</v>
      </c>
      <c r="C68" s="51" t="s">
        <v>358</v>
      </c>
      <c r="D68" s="49" t="s">
        <v>57</v>
      </c>
      <c r="E68" s="49" t="s">
        <v>57</v>
      </c>
      <c r="F68" s="52" t="n">
        <v>305.6</v>
      </c>
      <c r="G68" s="52" t="n">
        <v>300.6</v>
      </c>
      <c r="H68" s="52" t="n">
        <f aca="false">F68-G68</f>
        <v>5</v>
      </c>
      <c r="I68" s="53" t="n">
        <f aca="false">IF(G68=0,"",H68/G68)</f>
        <v>0.0166333998669328</v>
      </c>
      <c r="J68" s="49" t="s">
        <v>196</v>
      </c>
      <c r="K68" s="51" t="s">
        <v>530</v>
      </c>
      <c r="L68" s="51" t="s">
        <v>480</v>
      </c>
    </row>
    <row r="69" customFormat="false" ht="15" hidden="false" customHeight="false" outlineLevel="0" collapsed="false">
      <c r="A69" s="49" t="n">
        <v>65</v>
      </c>
      <c r="B69" s="50" t="s">
        <v>360</v>
      </c>
      <c r="C69" s="51" t="s">
        <v>362</v>
      </c>
      <c r="D69" s="49" t="s">
        <v>320</v>
      </c>
      <c r="E69" s="49" t="s">
        <v>320</v>
      </c>
      <c r="F69" s="52" t="n">
        <v>261.9</v>
      </c>
      <c r="G69" s="52" t="n">
        <v>257.64</v>
      </c>
      <c r="H69" s="52" t="n">
        <f aca="false">F69-G69</f>
        <v>4.25999999999999</v>
      </c>
      <c r="I69" s="53" t="n">
        <f aca="false">IF(G69=0,"",H69/G69)</f>
        <v>0.0165346995808104</v>
      </c>
      <c r="J69" s="49" t="s">
        <v>304</v>
      </c>
      <c r="K69" s="51" t="s">
        <v>531</v>
      </c>
      <c r="L69" s="51" t="s">
        <v>480</v>
      </c>
    </row>
    <row r="70" customFormat="false" ht="22.35" hidden="false" customHeight="false" outlineLevel="0" collapsed="false">
      <c r="A70" s="32" t="n">
        <v>66</v>
      </c>
      <c r="B70" s="33" t="s">
        <v>364</v>
      </c>
      <c r="C70" s="34" t="s">
        <v>366</v>
      </c>
      <c r="D70" s="32" t="s">
        <v>57</v>
      </c>
      <c r="E70" s="32" t="s">
        <v>57</v>
      </c>
      <c r="F70" s="35" t="n">
        <v>258.38</v>
      </c>
      <c r="G70" s="35" t="n">
        <v>363.74</v>
      </c>
      <c r="H70" s="35" t="n">
        <f aca="false">F70-G70</f>
        <v>-105.36</v>
      </c>
      <c r="I70" s="54" t="n">
        <f aca="false">IF(G70=0,"",H70/G70)</f>
        <v>-0.289657447627426</v>
      </c>
      <c r="J70" s="32" t="s">
        <v>175</v>
      </c>
      <c r="K70" s="34" t="s">
        <v>532</v>
      </c>
      <c r="L70" s="34" t="s">
        <v>533</v>
      </c>
    </row>
    <row r="71" customFormat="false" ht="15" hidden="false" customHeight="false" outlineLevel="0" collapsed="false">
      <c r="A71" s="49" t="n">
        <v>67</v>
      </c>
      <c r="B71" s="50" t="s">
        <v>370</v>
      </c>
      <c r="C71" s="51" t="s">
        <v>372</v>
      </c>
      <c r="D71" s="49" t="s">
        <v>152</v>
      </c>
      <c r="E71" s="49" t="s">
        <v>152</v>
      </c>
      <c r="F71" s="52" t="n">
        <v>230.97</v>
      </c>
      <c r="G71" s="52" t="n">
        <v>232.98</v>
      </c>
      <c r="H71" s="52" t="n">
        <f aca="false">F71-G71</f>
        <v>-2.00999999999999</v>
      </c>
      <c r="I71" s="53" t="n">
        <f aca="false">IF(G71=0,"",H71/G71)</f>
        <v>-0.00862734998712332</v>
      </c>
      <c r="J71" s="49" t="s">
        <v>534</v>
      </c>
      <c r="K71" s="51" t="s">
        <v>535</v>
      </c>
      <c r="L71" s="51" t="s">
        <v>536</v>
      </c>
    </row>
    <row r="72" customFormat="false" ht="15" hidden="false" customHeight="false" outlineLevel="0" collapsed="false">
      <c r="A72" s="49" t="n">
        <v>68</v>
      </c>
      <c r="B72" s="50" t="s">
        <v>376</v>
      </c>
      <c r="C72" s="51" t="s">
        <v>378</v>
      </c>
      <c r="D72" s="49" t="s">
        <v>57</v>
      </c>
      <c r="E72" s="49" t="s">
        <v>57</v>
      </c>
      <c r="F72" s="52" t="n">
        <v>172.94</v>
      </c>
      <c r="G72" s="52" t="n">
        <v>169.98</v>
      </c>
      <c r="H72" s="52" t="n">
        <f aca="false">F72-G72</f>
        <v>2.96000000000001</v>
      </c>
      <c r="I72" s="53" t="n">
        <f aca="false">IF(G72=0,"",H72/G72)</f>
        <v>0.0174138133898106</v>
      </c>
      <c r="J72" s="49" t="s">
        <v>361</v>
      </c>
      <c r="K72" s="51" t="s">
        <v>537</v>
      </c>
      <c r="L72" s="51" t="s">
        <v>480</v>
      </c>
    </row>
    <row r="73" customFormat="false" ht="15" hidden="false" customHeight="false" outlineLevel="0" collapsed="false">
      <c r="A73" s="49" t="n">
        <v>69</v>
      </c>
      <c r="B73" s="50" t="s">
        <v>381</v>
      </c>
      <c r="C73" s="51" t="s">
        <v>383</v>
      </c>
      <c r="D73" s="49" t="s">
        <v>384</v>
      </c>
      <c r="E73" s="49" t="s">
        <v>384</v>
      </c>
      <c r="F73" s="52" t="n">
        <v>148.98</v>
      </c>
      <c r="G73" s="52" t="n">
        <v>148.2</v>
      </c>
      <c r="H73" s="52" t="n">
        <f aca="false">F73-G73</f>
        <v>0.780000000000001</v>
      </c>
      <c r="I73" s="53" t="n">
        <f aca="false">IF(G73=0,"",H73/G73)</f>
        <v>0.00526315789473685</v>
      </c>
      <c r="J73" s="49" t="s">
        <v>421</v>
      </c>
      <c r="K73" s="51" t="s">
        <v>538</v>
      </c>
      <c r="L73" s="51" t="s">
        <v>480</v>
      </c>
    </row>
    <row r="74" customFormat="false" ht="15" hidden="false" customHeight="false" outlineLevel="0" collapsed="false">
      <c r="A74" s="49" t="n">
        <v>70</v>
      </c>
      <c r="B74" s="50" t="s">
        <v>386</v>
      </c>
      <c r="C74" s="51" t="s">
        <v>388</v>
      </c>
      <c r="D74" s="49" t="s">
        <v>320</v>
      </c>
      <c r="E74" s="49" t="s">
        <v>320</v>
      </c>
      <c r="F74" s="52" t="n">
        <v>107.58</v>
      </c>
      <c r="G74" s="52" t="n">
        <v>108.06</v>
      </c>
      <c r="H74" s="52" t="n">
        <f aca="false">F74-G74</f>
        <v>-0.480000000000004</v>
      </c>
      <c r="I74" s="53" t="n">
        <f aca="false">IF(G74=0,"",H74/G74)</f>
        <v>-0.00444197667962247</v>
      </c>
      <c r="J74" s="49" t="s">
        <v>539</v>
      </c>
      <c r="K74" s="51" t="s">
        <v>540</v>
      </c>
      <c r="L74" s="51" t="s">
        <v>536</v>
      </c>
    </row>
    <row r="75" customFormat="false" ht="15" hidden="false" customHeight="false" outlineLevel="0" collapsed="false">
      <c r="A75" s="49" t="n">
        <v>71</v>
      </c>
      <c r="B75" s="50" t="s">
        <v>390</v>
      </c>
      <c r="C75" s="51" t="s">
        <v>392</v>
      </c>
      <c r="D75" s="49" t="s">
        <v>393</v>
      </c>
      <c r="E75" s="49" t="s">
        <v>81</v>
      </c>
      <c r="F75" s="52" t="n">
        <v>99.35</v>
      </c>
      <c r="G75" s="52" t="n">
        <v>97.46</v>
      </c>
      <c r="H75" s="52" t="n">
        <f aca="false">F75-G75</f>
        <v>1.89</v>
      </c>
      <c r="I75" s="53" t="n">
        <f aca="false">IF(G75=0,"",H75/G75)</f>
        <v>0.0193925713113072</v>
      </c>
      <c r="J75" s="49" t="s">
        <v>206</v>
      </c>
      <c r="K75" s="51" t="s">
        <v>541</v>
      </c>
      <c r="L75" s="51" t="s">
        <v>480</v>
      </c>
    </row>
    <row r="76" customFormat="false" ht="15" hidden="false" customHeight="false" outlineLevel="0" collapsed="false">
      <c r="A76" s="49" t="n">
        <v>72</v>
      </c>
      <c r="B76" s="50" t="s">
        <v>395</v>
      </c>
      <c r="C76" s="51" t="s">
        <v>397</v>
      </c>
      <c r="D76" s="49" t="s">
        <v>57</v>
      </c>
      <c r="E76" s="49" t="s">
        <v>57</v>
      </c>
      <c r="F76" s="52" t="n">
        <v>93.78</v>
      </c>
      <c r="G76" s="52" t="n">
        <v>93.82</v>
      </c>
      <c r="H76" s="52" t="n">
        <f aca="false">F76-G76</f>
        <v>-0.039999999999992</v>
      </c>
      <c r="I76" s="53" t="n">
        <f aca="false">IF(G76=0,"",H76/G76)</f>
        <v>-0.000426348326582733</v>
      </c>
      <c r="J76" s="49" t="s">
        <v>308</v>
      </c>
      <c r="K76" s="51" t="s">
        <v>542</v>
      </c>
      <c r="L76" s="51" t="s">
        <v>493</v>
      </c>
    </row>
    <row r="77" customFormat="false" ht="15" hidden="false" customHeight="false" outlineLevel="0" collapsed="false">
      <c r="A77" s="49" t="n">
        <v>73</v>
      </c>
      <c r="B77" s="50" t="s">
        <v>401</v>
      </c>
      <c r="C77" s="51" t="s">
        <v>403</v>
      </c>
      <c r="D77" s="49" t="s">
        <v>152</v>
      </c>
      <c r="E77" s="49" t="s">
        <v>152</v>
      </c>
      <c r="F77" s="52" t="n">
        <v>81.75</v>
      </c>
      <c r="G77" s="52" t="n">
        <v>81.75</v>
      </c>
      <c r="H77" s="52" t="n">
        <f aca="false">F77-G77</f>
        <v>0</v>
      </c>
      <c r="I77" s="53" t="n">
        <f aca="false">IF(G77=0,"",H77/G77)</f>
        <v>0</v>
      </c>
      <c r="J77" s="49" t="s">
        <v>543</v>
      </c>
      <c r="K77" s="51" t="s">
        <v>544</v>
      </c>
      <c r="L77" s="51" t="s">
        <v>545</v>
      </c>
    </row>
    <row r="78" customFormat="false" ht="15" hidden="false" customHeight="false" outlineLevel="0" collapsed="false">
      <c r="A78" s="32" t="n">
        <v>74</v>
      </c>
      <c r="B78" s="33" t="s">
        <v>407</v>
      </c>
      <c r="C78" s="34" t="s">
        <v>409</v>
      </c>
      <c r="D78" s="55" t="s">
        <v>57</v>
      </c>
      <c r="E78" s="55" t="s">
        <v>81</v>
      </c>
      <c r="F78" s="35" t="n">
        <v>58.16</v>
      </c>
      <c r="G78" s="35" t="n">
        <v>27.81</v>
      </c>
      <c r="H78" s="35" t="n">
        <f aca="false">F78-G78</f>
        <v>30.35</v>
      </c>
      <c r="I78" s="54" t="n">
        <f aca="false">IF(G78=0,"",H78/G78)</f>
        <v>1.0913340524991</v>
      </c>
      <c r="J78" s="32" t="s">
        <v>222</v>
      </c>
      <c r="K78" s="34" t="s">
        <v>546</v>
      </c>
      <c r="L78" s="34" t="s">
        <v>547</v>
      </c>
    </row>
    <row r="79" customFormat="false" ht="15" hidden="false" customHeight="false" outlineLevel="0" collapsed="false">
      <c r="A79" s="49" t="n">
        <v>75</v>
      </c>
      <c r="B79" s="50" t="s">
        <v>412</v>
      </c>
      <c r="C79" s="51" t="s">
        <v>414</v>
      </c>
      <c r="D79" s="49" t="s">
        <v>57</v>
      </c>
      <c r="E79" s="49" t="s">
        <v>57</v>
      </c>
      <c r="F79" s="52" t="n">
        <v>39.64</v>
      </c>
      <c r="G79" s="52" t="n">
        <v>39.08</v>
      </c>
      <c r="H79" s="52" t="n">
        <f aca="false">F79-G79</f>
        <v>0.560000000000002</v>
      </c>
      <c r="I79" s="53" t="n">
        <f aca="false">IF(G79=0,"",H79/G79)</f>
        <v>0.0143295803480042</v>
      </c>
      <c r="J79" s="49" t="s">
        <v>314</v>
      </c>
      <c r="K79" s="51" t="s">
        <v>548</v>
      </c>
      <c r="L79" s="51" t="s">
        <v>480</v>
      </c>
    </row>
    <row r="80" customFormat="false" ht="15" hidden="false" customHeight="false" outlineLevel="0" collapsed="false">
      <c r="A80" s="49" t="n">
        <v>76</v>
      </c>
      <c r="B80" s="50" t="s">
        <v>416</v>
      </c>
      <c r="C80" s="51" t="s">
        <v>418</v>
      </c>
      <c r="D80" s="49" t="s">
        <v>393</v>
      </c>
      <c r="E80" s="49" t="s">
        <v>81</v>
      </c>
      <c r="F80" s="52" t="n">
        <v>14.99</v>
      </c>
      <c r="G80" s="52" t="n">
        <v>14.86</v>
      </c>
      <c r="H80" s="52" t="n">
        <f aca="false">F80-G80</f>
        <v>0.130000000000001</v>
      </c>
      <c r="I80" s="53" t="n">
        <f aca="false">IF(G80=0,"",H80/G80)</f>
        <v>0.00874831763122482</v>
      </c>
      <c r="J80" s="49" t="s">
        <v>549</v>
      </c>
      <c r="K80" s="51" t="s">
        <v>550</v>
      </c>
      <c r="L80" s="51" t="s">
        <v>480</v>
      </c>
    </row>
    <row r="81" customFormat="false" ht="15" hidden="false" customHeight="false" outlineLevel="0" collapsed="false">
      <c r="A81" s="49" t="n">
        <v>77</v>
      </c>
      <c r="B81" s="50" t="s">
        <v>420</v>
      </c>
      <c r="C81" s="51" t="s">
        <v>422</v>
      </c>
      <c r="D81" s="49" t="s">
        <v>81</v>
      </c>
      <c r="E81" s="49" t="s">
        <v>81</v>
      </c>
      <c r="F81" s="52" t="n">
        <v>9.61</v>
      </c>
      <c r="G81" s="52" t="n">
        <v>9.59</v>
      </c>
      <c r="H81" s="52" t="n">
        <f aca="false">F81-G81</f>
        <v>0.0199999999999996</v>
      </c>
      <c r="I81" s="53" t="n">
        <f aca="false">IF(G81=0,"",H81/G81)</f>
        <v>0.00208550573514073</v>
      </c>
      <c r="J81" s="49" t="s">
        <v>157</v>
      </c>
      <c r="K81" s="51" t="s">
        <v>551</v>
      </c>
      <c r="L81" s="51" t="s">
        <v>480</v>
      </c>
    </row>
    <row r="82" customFormat="false" ht="15" hidden="false" customHeight="false" outlineLevel="0" collapsed="false">
      <c r="A82" s="42"/>
      <c r="B82" s="42"/>
      <c r="C82" s="42" t="s">
        <v>552</v>
      </c>
      <c r="D82" s="42"/>
      <c r="E82" s="42"/>
      <c r="F82" s="43" t="n">
        <f aca="false">SUM(F5:F81)</f>
        <v>778719.2</v>
      </c>
      <c r="G82" s="43" t="n">
        <f aca="false">SUM(G5:G81)</f>
        <v>786370.57</v>
      </c>
      <c r="H82" s="43" t="n">
        <f aca="false">F82-G82</f>
        <v>-7651.37</v>
      </c>
      <c r="I82" s="44" t="n">
        <f aca="false">H82/G82</f>
        <v>-0.00972998010340086</v>
      </c>
      <c r="J82" s="42"/>
      <c r="K82" s="42"/>
      <c r="L82" s="42"/>
    </row>
    <row r="84" customFormat="false" ht="15" hidden="false" customHeight="false" outlineLevel="0" collapsed="false">
      <c r="A84" s="2" t="s">
        <v>553</v>
      </c>
    </row>
    <row r="85" customFormat="false" ht="15" hidden="false" customHeight="false" outlineLevel="0" collapsed="false">
      <c r="A85" s="2" t="s">
        <v>554</v>
      </c>
    </row>
  </sheetData>
  <autoFilter ref="A4:L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2026-10-16T11:56:48Z</dcterms:created>
  <dc:creator>openpyxl</dc:creator>
  <dc:description/>
  <dc:language>en-US</dc:language>
  <cp:lastModifiedBy/>
  <dcterms:modified xsi:type="dcterms:W3CDTF">2026-10-16T11:56:48Z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